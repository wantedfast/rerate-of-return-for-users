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4d6fca7aa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81ee03afc9f94856"/>
    <x:sheet xmlns:r="http://schemas.openxmlformats.org/officeDocument/2006/relationships" name="每日更新" sheetId="2" r:id="R46236bc282314f2b"/>
    <x:sheet xmlns:r="http://schemas.openxmlformats.org/officeDocument/2006/relationships" name="A股时间线" sheetId="3" r:id="Red6dd8affa98406b"/>
    <x:sheet xmlns:r="http://schemas.openxmlformats.org/officeDocument/2006/relationships" name="分摊计算" sheetId="4" r:id="Rd62b0ad4e0a043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%"/>
    <x:numFmt numFmtId="202" formatCode="0.0000"/>
    <x:numFmt numFmtId="203" formatCode="yyyy-mm-dd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4"/>
      <x:color rgb="FFFFFFFF"/>
      <x:name val="Microsoft YaHei"/>
    </x:font>
    <x:font>
      <x:sz val="11"/>
      <x:name val="Microsoft YaHei"/>
    </x:font>
    <x:font>
      <x:b/>
      <x:sz val="11"/>
      <x:color rgb="FF17365D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4" fillId="3" borderId="1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202" fontId="3" fillId="0" borderId="1" xfId="0" applyNumberFormat="1" applyFont="1" applyFill="1" applyBorder="1"/>
    <x:xf numFmtId="0" fontId="4" fillId="3" borderId="2" xfId="0" applyNumberFormat="1" applyFont="1" applyFill="1" applyBorder="1"/>
    <x:xf numFmtId="203" fontId="3" fillId="0" borderId="2" xfId="0" applyNumberFormat="1" applyFont="1" applyFill="1" applyBorder="1"/>
    <x:xf numFmtId="200" fontId="3" fillId="0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/>
    <x:xf numFmtId="200" fontId="3" fillId="4" borderId="1" xfId="0" applyNumberFormat="1" applyFont="1" applyFill="1" applyBorder="1"/>
    <x:xf numFmtId="202" fontId="3" fillId="4" borderId="1" xfId="0" applyNumberFormat="1" applyFont="1" applyFill="1" applyBorder="1"/>
    <x:xf numFmtId="203" fontId="3" fillId="4" borderId="2" xfId="0" applyNumberFormat="1" applyFont="1" applyFill="1" applyBorder="1"/>
    <x:xf numFmtId="200" fontId="3" fillId="4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974b71f48453d" /><Relationship Type="http://schemas.openxmlformats.org/officeDocument/2006/relationships/theme" Target="/xl/theme/theme1.xml" Id="R6111b9ab94a347ab" /><Relationship Type="http://schemas.openxmlformats.org/officeDocument/2006/relationships/sharedStrings" Target="/xl/sharedStrings.xml" Id="R36d37e8b9e894217" /><Relationship Type="http://schemas.openxmlformats.org/officeDocument/2006/relationships/worksheet" Target="/xl/worksheets/sheet1.xml" Id="R81ee03afc9f94856" /><Relationship Type="http://schemas.openxmlformats.org/officeDocument/2006/relationships/worksheet" Target="/xl/worksheets/sheet2.xml" Id="R46236bc282314f2b" /><Relationship Type="http://schemas.openxmlformats.org/officeDocument/2006/relationships/worksheet" Target="/xl/worksheets/sheet3.xml" Id="Red6dd8affa98406b" /><Relationship Type="http://schemas.openxmlformats.org/officeDocument/2006/relationships/worksheet" Target="/xl/worksheets/sheet4.xml" Id="Rd62b0ad4e0a043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>
      <x:c r="A1" s="4" t="str">
        <x:v>个人盈亏与收益率汇总</x:v>
      </x:c>
      <x:c r="B1" s="4"/>
      <x:c r="C1" s="4"/>
      <x:c r="D1" s="4"/>
      <x:c r="E1" s="4"/>
      <x:c r="F1" s="4"/>
      <x:c r="G1" s="4"/>
      <x:c r="H1" s="4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人</x:v>
      </x:c>
      <x:c r="B3" s="12" t="str">
        <x:v>A股盈亏</x:v>
      </x:c>
      <x:c r="C3" s="12" t="str">
        <x:v>基金盈亏</x:v>
      </x:c>
      <x:c r="D3" s="12" t="str">
        <x:v>美股盈亏</x:v>
      </x:c>
      <x:c r="E3" s="12" t="str">
        <x:v>总盈亏</x:v>
      </x:c>
      <x:c r="F3" s="12" t="str">
        <x:v>投入本金</x:v>
      </x:c>
      <x:c r="G3" s="12" t="str">
        <x:v>收益率</x:v>
      </x:c>
      <x:c r="H3" s="12" t="str">
        <x:v>备注</x:v>
      </x:c>
    </x:row>
    <x:row r="4">
      <x:c r="A4" s="13" t="str">
        <x:v>王欣隆</x:v>
      </x:c>
      <x:c r="B4" s="14" t="n">
        <x:f>SUM('A股时间线'!K4:K104)+SUM('A股时间线'!N4:N104)</x:f>
        <x:v>-517.625011653327</x:v>
      </x:c>
      <x:c r="C4" s="14" t="n">
        <x:f>'分摊计算'!D12</x:f>
        <x:v>-34.539999999999964</x:v>
      </x:c>
      <x:c r="D4" s="14" t="n">
        <x:f>'分摊计算'!L12</x:f>
        <x:v>-792.7546943245384</x:v>
      </x:c>
      <x:c r="E4" s="14" t="n">
        <x:f>SUM(B4:D4)</x:f>
        <x:v>-1344.9197059778653</x:v>
      </x:c>
      <x:c r="F4" s="14" t="n">
        <x:f>14136.37+6700</x:f>
        <x:v>20836.370000000003</x:v>
      </x:c>
      <x:c r="G4" s="15" t="n">
        <x:f>E4/F4</x:f>
        <x:v>-0.06454673755447159</x:v>
      </x:c>
      <x:c r="H4" s="13" t="str">
        <x:v>共同池 + 借款A股 + 美股/基金分摊</x:v>
      </x:c>
    </x:row>
    <x:row r="5">
      <x:c r="A5" s="13" t="str">
        <x:v>chen</x:v>
      </x:c>
      <x:c r="B5" s="14" t="n">
        <x:f>SUM('A股时间线'!L4:L104)</x:f>
        <x:v>-668.3409750400028</x:v>
      </x:c>
      <x:c r="C5" s="14" t="n">
        <x:f>'分摊计算'!D13</x:f>
        <x:v>0</x:v>
      </x:c>
      <x:c r="D5" s="14" t="n">
        <x:f>'分摊计算'!L13</x:f>
        <x:v>-280.39542482424355</x:v>
      </x:c>
      <x:c r="E5" s="14" t="n">
        <x:f>SUM(B5:D5)</x:f>
        <x:v>-948.7363998642463</x:v>
      </x:c>
      <x:c r="F5" s="14" t="n">
        <x:f>5000</x:f>
        <x:v>5000</x:v>
      </x:c>
      <x:c r="G5" s="15" t="n">
        <x:f>E5/F5</x:f>
        <x:v>-0.18974727997284926</x:v>
      </x:c>
      <x:c r="H5" s="13" t="str">
        <x:v>共同池分摊</x:v>
      </x:c>
    </x:row>
    <x:row r="6">
      <x:c r="A6" s="13" t="str">
        <x:v>南京哥</x:v>
      </x:c>
      <x:c r="B6" s="14" t="n">
        <x:f>SUM('A股时间线'!M4:M104)</x:f>
        <x:v>-935.6773650560035</x:v>
      </x:c>
      <x:c r="C6" s="14" t="n">
        <x:f>'分摊计算'!D14</x:f>
        <x:v>0</x:v>
      </x:c>
      <x:c r="D6" s="14" t="n">
        <x:f>'分摊计算'!L14</x:f>
        <x:v>-392.55359475394096</x:v>
      </x:c>
      <x:c r="E6" s="14" t="n">
        <x:f>SUM(B6:D6)</x:f>
        <x:v>-1328.2309598099446</x:v>
      </x:c>
      <x:c r="F6" s="14" t="n">
        <x:f>7000</x:f>
        <x:v>7000</x:v>
      </x:c>
      <x:c r="G6" s="15" t="n">
        <x:f>E6/F6</x:f>
        <x:v>-0.18974727997284924</x:v>
      </x:c>
      <x:c r="H6" s="13" t="str">
        <x:v>共同池分摊</x:v>
      </x:c>
    </x:row>
    <x:row r="7">
      <x:c r="A7" s="13" t="str">
        <x:v>garlicm</x:v>
      </x:c>
      <x:c r="B7" s="14" t="n">
        <x:f>SUM('A股时间线'!P4:P104)</x:f>
        <x:v>1087.716883857705</x:v>
      </x:c>
      <x:c r="C7" s="14" t="n">
        <x:f>0</x:f>
        <x:v>0</x:v>
      </x:c>
      <x:c r="D7" s="14" t="n">
        <x:f>'分摊计算'!L15</x:f>
        <x:v>-933.5919478458783</x:v>
      </x:c>
      <x:c r="E7" s="14" t="n">
        <x:f>SUM(B7:D7)</x:f>
        <x:v>154.12493601182666</x:v>
      </x:c>
      <x:c r="F7" s="14" t="n">
        <x:f>10000+'分摊计算'!$G$5</x:f>
        <x:v>20036.760000000002</x:v>
      </x:c>
      <x:c r="G7" s="15" t="n">
        <x:f>E7/F7</x:f>
        <x:v>0.007692108704791925</x:v>
      </x:c>
      <x:c r="H7" s="13" t="str">
        <x:v>专项A股 + 专项美股</x:v>
      </x:c>
    </x:row>
    <x:row r="8">
      <x:c r="A8" s="13" t="str">
        <x:v>糖</x:v>
      </x:c>
      <x:c r="B8" s="14" t="n">
        <x:f>SUM('A股时间线'!O4:O104)</x:f>
        <x:v>-69.07353210837192</x:v>
      </x:c>
      <x:c r="C8" s="14" t="n">
        <x:f>0</x:f>
        <x:v>0</x:v>
      </x:c>
      <x:c r="D8" s="14" t="n">
        <x:f>'分摊计算'!L16</x:f>
        <x:v>-3006.5243382514</x:v>
      </x:c>
      <x:c r="E8" s="14" t="n">
        <x:f>SUM(B8:D8)</x:f>
        <x:v>-3075.597870359772</x:v>
      </x:c>
      <x:c r="F8" s="14" t="n">
        <x:f>1500+'分摊计算'!$G$6</x:f>
        <x:v>20056</x:v>
      </x:c>
      <x:c r="G8" s="15" t="n">
        <x:f>E8/F8</x:f>
        <x:v>-0.15335051208415298</x:v>
      </x:c>
      <x:c r="H8" s="13" t="str">
        <x:v>专项A股 + 专项美股</x:v>
      </x:c>
    </x:row>
    <x:row r="9">
      <x:c r="A9" s="5"/>
      <x:c r="B9" s="5"/>
      <x:c r="C9" s="5"/>
      <x:c r="D9" s="5"/>
      <x:c r="E9" s="5"/>
      <x:c r="F9" s="5"/>
      <x:c r="G9" s="5"/>
      <x:c r="H9" s="5"/>
    </x:row>
    <x:row r="10">
      <x:c r="A10" s="5"/>
      <x:c r="B10" s="5"/>
      <x:c r="C10" s="5"/>
      <x:c r="D10" s="5"/>
      <x:c r="E10" s="5"/>
      <x:c r="F10" s="5"/>
      <x:c r="G10" s="5"/>
      <x:c r="H10" s="5"/>
    </x:row>
    <x:row r="11">
      <x:c r="A11" s="12" t="str">
        <x:v>校验</x:v>
      </x:c>
      <x:c r="B11" s="12" t="str">
        <x:v>数值</x:v>
      </x:c>
      <x:c r="C11" s="12" t="str">
        <x:v>公式/来源</x:v>
      </x:c>
      <x:c r="D11" s="12" t="str">
        <x:v>说明</x:v>
      </x:c>
      <x:c r="E11" s="5"/>
      <x:c r="F11" s="5"/>
      <x:c r="G11" s="5"/>
      <x:c r="H11" s="5"/>
    </x:row>
    <x:row r="12">
      <x:c r="A12" s="13" t="str">
        <x:v>A股收益合计</x:v>
      </x:c>
      <x:c r="B12" s="14" t="n">
        <x:f>SUM('A股时间线'!B4:B104)</x:f>
        <x:v>-1103</x:v>
      </x:c>
      <x:c r="C12" s="13" t="n">
        <x:f>SUM('A股时间线'!B4:B104)</x:f>
        <x:v>-1103</x:v>
      </x:c>
      <x:c r="D12" s="13" t="str">
        <x:v>应等于截图每日收益合计</x:v>
      </x:c>
      <x:c r="E12" s="5"/>
      <x:c r="F12" s="5"/>
      <x:c r="G12" s="5"/>
      <x:c r="H12" s="5"/>
    </x:row>
    <x:row r="13">
      <x:c r="A13" s="13" t="str">
        <x:v>A股分摊合计</x:v>
      </x:c>
      <x:c r="B13" s="14" t="n">
        <x:f>SUM(B4:B8)</x:f>
        <x:v>-1103.0000000000002</x:v>
      </x:c>
      <x:c r="C13" s="13" t="n">
        <x:f>SUM(B4:B8)</x:f>
        <x:v>-1103.0000000000002</x:v>
      </x:c>
      <x:c r="D13" s="13" t="str">
        <x:v>应等于 A股收益合计</x:v>
      </x:c>
      <x:c r="E13" s="5"/>
      <x:c r="F13" s="5"/>
      <x:c r="G13" s="5"/>
      <x:c r="H13" s="5"/>
    </x:row>
    <x:row r="14">
      <x:c r="A14" s="13" t="str">
        <x:v>基金盈亏合计</x:v>
      </x:c>
      <x:c r="B14" s="14" t="n">
        <x:f>'每日更新'!B8-'每日更新'!B7</x:f>
        <x:v>-34.539999999999964</x:v>
      </x:c>
      <x:c r="C14" s="13" t="n">
        <x:f>'每日更新'!B8-'每日更新'!B7</x:f>
        <x:v>-34.539999999999964</x:v>
      </x:c>
      <x:c r="D14" s="13" t="str">
        <x:v>当前基金资产 - 基金本金</x:v>
      </x:c>
      <x:c r="E14" s="5"/>
      <x:c r="F14" s="5"/>
      <x:c r="G14" s="5"/>
      <x:c r="H14" s="5"/>
    </x:row>
    <x:row r="15">
      <x:c r="A15" s="13" t="str">
        <x:v>基金分摊合计</x:v>
      </x:c>
      <x:c r="B15" s="14" t="n">
        <x:f>SUM(C4:C8)</x:f>
        <x:v>-34.539999999999964</x:v>
      </x:c>
      <x:c r="C15" s="13" t="n">
        <x:f>SUM(C4:C8)</x:f>
        <x:v>-34.539999999999964</x:v>
      </x:c>
      <x:c r="D15" s="13" t="str">
        <x:v>应等于基金盈亏合计</x:v>
      </x:c>
      <x:c r="E15" s="5"/>
      <x:c r="F15" s="5"/>
      <x:c r="G15" s="5"/>
      <x:c r="H15" s="5"/>
    </x:row>
    <x:row r="16">
      <x:c r="A16" s="13" t="str">
        <x:v>美股盈亏合计</x:v>
      </x:c>
      <x:c r="B16" s="14" t="n">
        <x:f>'每日更新'!B13</x:f>
        <x:v>-5405.820000000001</x:v>
      </x:c>
      <x:c r="C16" s="13" t="n">
        <x:f>'每日更新'!B13</x:f>
        <x:v>-5405.820000000001</x:v>
      </x:c>
      <x:c r="D16" s="13" t="str">
        <x:v>阶段已实现 + 当前浮亏</x:v>
      </x:c>
      <x:c r="E16" s="5"/>
      <x:c r="F16" s="5"/>
      <x:c r="G16" s="5"/>
      <x:c r="H16" s="5"/>
    </x:row>
    <x:row r="17">
      <x:c r="A17" s="13" t="str">
        <x:v>美股分摊合计</x:v>
      </x:c>
      <x:c r="B17" s="14" t="n">
        <x:f>SUM(D4:D8)</x:f>
        <x:v>-5405.8200000000015</x:v>
      </x:c>
      <x:c r="C17" s="13" t="n">
        <x:f>SUM(D4:D8)</x:f>
        <x:v>-5405.8200000000015</x:v>
      </x:c>
      <x:c r="D17" s="13" t="str">
        <x:v>应等于美股盈亏合计</x:v>
      </x:c>
      <x:c r="E17" s="5"/>
      <x:c r="F17" s="5"/>
      <x:c r="G17" s="5"/>
      <x:c r="H17" s="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4" max="4" width="7.880000114440918" hidden="0" customWidth="1"/>
    <x:col min="5" max="5" width="39.25" hidden="0" customWidth="1"/>
  </x:cols>
  <x:sheetData>
    <x:row r="1">
      <x:c r="A1" s="4" t="str">
        <x:v>每日更新输入</x:v>
      </x:c>
      <x:c r="B1" s="4"/>
      <x:c r="C1" s="4"/>
      <x:c r="D1" s="4"/>
      <x:c r="E1" s="4"/>
      <x:c r="F1" s="4"/>
      <x:c r="G1" s="4"/>
      <x:c r="H1" s="4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项目</x:v>
      </x:c>
      <x:c r="B3" s="12" t="str">
        <x:v>数值</x:v>
      </x:c>
      <x:c r="C3" s="5"/>
      <x:c r="D3" s="7" t="str">
        <x:v>更新方法</x:v>
      </x:c>
      <x:c r="E3" s="7"/>
      <x:c r="F3" s="7"/>
      <x:c r="G3" s="7"/>
      <x:c r="H3" s="7"/>
    </x:row>
    <x:row r="4">
      <x:c r="A4" s="13" t="str">
        <x:v>美股当前评价额 JPY（核对用）</x:v>
      </x:c>
      <x:c r="B4" s="22" t="n">
        <x:v>822997</x:v>
      </x:c>
      <x:c r="C4" s="5"/>
      <x:c r="D4" s="5" t="str">
        <x:v>1</x:v>
      </x:c>
      <x:c r="E4" s="5" t="str">
        <x:v>每天更新 B5 美股当前总资产 JPY</x:v>
      </x:c>
      <x:c r="F4" s="5"/>
      <x:c r="G4" s="5"/>
      <x:c r="H4" s="5"/>
    </x:row>
    <x:row r="5">
      <x:c r="A5" s="13" t="str">
        <x:v>美股当前浮亏 JPY</x:v>
      </x:c>
      <x:c r="B5" s="22" t="n">
        <x:v>-88360</x:v>
      </x:c>
      <x:c r="C5" s="5"/>
      <x:c r="D5" s="5" t="str">
        <x:v>2</x:v>
      </x:c>
      <x:c r="E5" s="5" t="str">
        <x:v>每天更新 B8 基金当前总资产 CNY</x:v>
      </x:c>
      <x:c r="F5" s="5"/>
      <x:c r="G5" s="5"/>
      <x:c r="H5" s="5"/>
    </x:row>
    <x:row r="6">
      <x:c r="A6" s="13" t="str">
        <x:v>JPY/CNY 汇率</x:v>
      </x:c>
      <x:c r="B6" s="23" t="n">
        <x:v>0.042</x:v>
      </x:c>
      <x:c r="C6" s="5"/>
      <x:c r="D6" s="5" t="str">
        <x:v>3</x:v>
      </x:c>
      <x:c r="E6" s="5" t="str">
        <x:v>每天在「A股时间线」新增/填写当日 A股总收益</x:v>
      </x:c>
      <x:c r="F6" s="5"/>
      <x:c r="G6" s="5"/>
      <x:c r="H6" s="5"/>
    </x:row>
    <x:row r="7">
      <x:c r="A7" s="13" t="str">
        <x:v>基金本金 CNY</x:v>
      </x:c>
      <x:c r="B7" s="22" t="n">
        <x:v>5000</x:v>
      </x:c>
      <x:c r="C7" s="5"/>
      <x:c r="D7" s="5" t="str">
        <x:v>4</x:v>
      </x:c>
      <x:c r="E7" s="5" t="str">
        <x:v>如汇率变化，更新 B6</x:v>
      </x:c>
      <x:c r="F7" s="5"/>
      <x:c r="G7" s="5"/>
      <x:c r="H7" s="5"/>
    </x:row>
    <x:row r="8">
      <x:c r="A8" s="13" t="str">
        <x:v>基金当前总资产 CNY</x:v>
      </x:c>
      <x:c r="B8" s="22" t="n">
        <x:v>4965.46</x:v>
      </x:c>
      <x:c r="C8" s="5"/>
      <x:c r="D8" s="5" t="str">
        <x:v>5</x:v>
      </x:c>
      <x:c r="E8" s="5" t="str">
        <x:v>美股按券商口径更新 B5、B10、B11</x:v>
      </x:c>
      <x:c r="F8" s="5"/>
      <x:c r="G8" s="5"/>
      <x:c r="H8" s="5"/>
    </x:row>
    <x:row r="9">
      <x:c r="A9" s="13" t="str">
        <x:v>A股当前总资产 CNY（核对用）</x:v>
      </x:c>
      <x:c r="B9" s="22" t="n">
        <x:v>22476.04</x:v>
      </x:c>
      <x:c r="C9" s="5"/>
      <x:c r="D9" s="5" t="str">
        <x:v>6</x:v>
      </x:c>
      <x:c r="E9" s="5" t="str">
        <x:v>汇总页自动更新每个人盈亏和收益率</x:v>
      </x:c>
      <x:c r="F9" s="5"/>
      <x:c r="G9" s="5"/>
      <x:c r="H9" s="5"/>
    </x:row>
    <x:row r="10">
      <x:c r="A10" s="13" t="str">
        <x:v>美股已实现 6/1-6/15 JPY（糖）</x:v>
      </x:c>
      <x:c r="B10" s="14" t="n">
        <x:v>-30488</x:v>
      </x:c>
      <x:c r="C10" s="5"/>
      <x:c r="D10" s="5"/>
      <x:c r="E10" s="5"/>
      <x:c r="F10" s="5"/>
      <x:c r="G10" s="5"/>
      <x:c r="H10" s="5"/>
    </x:row>
    <x:row r="11">
      <x:c r="A11" s="5" t="str">
        <x:v>美股已实现 6/16以后 JPY</x:v>
      </x:c>
      <x:c r="B11" s="8" t="n">
        <x:v>-9862</x:v>
      </x:c>
      <x:c r="C11" s="5"/>
      <x:c r="D11" s="5" t="str">
        <x:v>口径</x:v>
      </x:c>
      <x:c r="E11" s="5" t="str">
        <x:v>中间计算保留高精度，展示结果四舍五入</x:v>
      </x:c>
      <x:c r="F11" s="5"/>
      <x:c r="G11" s="5"/>
      <x:c r="H11" s="5"/>
    </x:row>
    <x:row r="12">
      <x:c r="A12" s="5" t="str">
        <x:v>美股总亏损 JPY</x:v>
      </x:c>
      <x:c r="B12" s="8" t="n">
        <x:f>SUM(B5,B10:B11)</x:f>
        <x:v>-128710</x:v>
      </x:c>
      <x:c r="C12" s="5"/>
      <x:c r="D12" s="5" t="str">
        <x:v>口径</x:v>
      </x:c>
      <x:c r="E12" s="5" t="str">
        <x:v>历史特殊爆仓不计入当前收益率</x:v>
      </x:c>
      <x:c r="F12" s="5"/>
      <x:c r="G12" s="5"/>
      <x:c r="H12" s="5"/>
    </x:row>
    <x:row r="13">
      <x:c r="A13" s="5" t="str">
        <x:v>美股总亏损 RMB</x:v>
      </x:c>
      <x:c r="B13" s="8" t="n">
        <x:f>B12*B6</x:f>
        <x:v>-5405.820000000001</x:v>
      </x:c>
      <x:c r="C13" s="5"/>
      <x:c r="D13" s="5"/>
      <x:c r="E13" s="5"/>
      <x:c r="F13" s="5"/>
      <x:c r="G13" s="5"/>
      <x:c r="H13" s="5"/>
    </x:row>
    <x:row r="14">
      <x:c r="A14" s="5" t="str">
        <x:v>备注</x:v>
      </x:c>
      <x:c r="B14" s="8" t="str">
        <x:v>A股盈亏以「A股时间线」每日收益列为准</x:v>
      </x:c>
      <x:c r="C14" s="5"/>
      <x:c r="D14" s="5"/>
      <x:c r="E14" s="5"/>
      <x:c r="F14" s="5"/>
      <x:c r="G14" s="5"/>
      <x:c r="H14" s="5"/>
    </x:row>
    <x:row r="15">
      <x:c r="A15" s="5" t="str">
        <x:v>备注</x:v>
      </x:c>
      <x:c r="B15" s="5" t="str">
        <x:v>美股按阶段分摊：糖早期独享，后段已实现+当前浮亏按美股本金比例分</x:v>
      </x:c>
      <x:c r="C15" s="5"/>
      <x:c r="D15" s="5"/>
      <x:c r="E15" s="5"/>
      <x:c r="F15" s="5"/>
      <x:c r="G15" s="5"/>
      <x:c r="H15" s="5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>
      <x:c r="A1" s="4" t="str">
        <x:v>A股时间线（每日只更新 B 列总收益；必要时更新 C 列总资产核对）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5"/>
      <x:c r="P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>
      <x:c r="A3" s="17" t="str">
        <x:v>日期</x:v>
      </x:c>
      <x:c r="B3" s="17" t="str">
        <x:v>A股总收益</x:v>
      </x:c>
      <x:c r="C3" s="17" t="str">
        <x:v>A股总资产核对</x:v>
      </x:c>
      <x:c r="D3" s="17" t="str">
        <x:v>王欣隆共同池盘前</x:v>
      </x:c>
      <x:c r="E3" s="17" t="str">
        <x:v>chen盘前</x:v>
      </x:c>
      <x:c r="F3" s="17" t="str">
        <x:v>南京哥盘前</x:v>
      </x:c>
      <x:c r="G3" s="17" t="str">
        <x:v>糖盘前</x:v>
      </x:c>
      <x:c r="H3" s="17" t="str">
        <x:v>王欣隆借款盘前</x:v>
      </x:c>
      <x:c r="I3" s="17" t="str">
        <x:v>garlicm盘前</x:v>
      </x:c>
      <x:c r="J3" s="17" t="str">
        <x:v>盘前总额</x:v>
      </x:c>
      <x:c r="K3" s="17" t="str">
        <x:v>王欣隆共同池收益</x:v>
      </x:c>
      <x:c r="L3" s="17" t="str">
        <x:v>chen收益</x:v>
      </x:c>
      <x:c r="M3" s="17" t="str">
        <x:v>南京哥收益</x:v>
      </x:c>
      <x:c r="N3" s="17" t="str">
        <x:v>王欣隆借款收益</x:v>
      </x:c>
      <x:c r="O3" s="17" t="str">
        <x:v>糖收益</x:v>
      </x:c>
      <x:c r="P3" s="17" t="str">
        <x:v>garlicm收益</x:v>
      </x:c>
    </x:row>
    <x:row r="4">
      <x:c r="A4" s="24" t="n">
        <x:v>46174</x:v>
      </x:c>
      <x:c r="B4" s="25" t="n">
        <x:v>-1035</x:v>
      </x:c>
      <x:c r="C4" s="25"/>
      <x:c r="D4" s="19" t="n">
        <x:f>0+IF($A4=DATE(2026,6,1),14136.37,0)-IF($A4=DATE(2026,6,16),7878.665*'分摊计算'!$C$4,0)-IF($A4=DATE(2026,6,17),7878.665*'分摊计算'!$C$4,0)</x:f>
        <x:v>14136.37</x:v>
      </x:c>
      <x:c r="E4" s="19" t="n">
        <x:f>0+IF($A4=DATE(2026,6,1),5000,0)-IF($A4=DATE(2026,6,16),7878.665*'分摊计算'!$C$5,0)-IF($A4=DATE(2026,6,17),7878.665*'分摊计算'!$C$5,0)</x:f>
        <x:v>5000</x:v>
      </x:c>
      <x:c r="F4" s="19" t="n">
        <x:f>0+IF($A4=DATE(2026,6,1),7000,0)-IF($A4=DATE(2026,6,16),7878.665*'分摊计算'!$C$6,0)-IF($A4=DATE(2026,6,17),7878.665*'分摊计算'!$C$6,0)</x:f>
        <x:v>7000</x:v>
      </x:c>
      <x:c r="G4" s="19" t="n">
        <x:f>0+IF($A4=DATE(2026,6,1),1500,0)</x:f>
        <x:v>1500</x:v>
      </x:c>
      <x:c r="H4" s="19" t="n">
        <x:f>0+IF($A4=DATE(2026,6,15),6000,0)-IF($A4=DATE(2026,6,16),6000,0)+IF($A4=DATE(2026,6,16),10000,0)-IF($A4=DATE(2026,6,17),3300,0)-IF($A4=DATE(2026,6,22),5000,0)</x:f>
        <x:v>0</x:v>
      </x:c>
      <x:c r="I4" s="19" t="n">
        <x:f>0+IF($A4=DATE(2026,6,17),9000,0)+IF($A4=DATE(2026,6,22),1000,0)</x:f>
        <x:v>0</x:v>
      </x:c>
      <x:c r="J4" s="19" t="n">
        <x:f>SUM(D4:I4)</x:f>
        <x:v>27636.370000000003</x:v>
      </x:c>
      <x:c r="K4" s="19" t="n">
        <x:f>IFERROR($B4*D4/$J4,0)</x:f>
        <x:v>-529.416234838367</x:v>
      </x:c>
      <x:c r="L4" s="19" t="n">
        <x:f>IFERROR($B4*E4/$J4,0)</x:f>
        <x:v>-187.25324635616036</x:v>
      </x:c>
      <x:c r="M4" s="19" t="n">
        <x:f>IFERROR($B4*F4/$J4,0)</x:f>
        <x:v>-262.1545448986245</x:v>
      </x:c>
      <x:c r="N4" s="19" t="n">
        <x:f>IFERROR($B4*H4/$J4,0)</x:f>
        <x:v>0</x:v>
      </x:c>
      <x:c r="O4" s="19" t="n">
        <x:f>IFERROR($B4*G4/$J4,0)</x:f>
        <x:v>-56.17597390684811</x:v>
      </x:c>
      <x:c r="P4" s="19" t="n">
        <x:f>IFERROR($B4*I4/$J4,0)</x:f>
        <x:v>0</x:v>
      </x:c>
    </x:row>
    <x:row r="5">
      <x:c r="A5" s="24" t="n">
        <x:v>46175</x:v>
      </x:c>
      <x:c r="B5" s="25" t="n">
        <x:v>267</x:v>
      </x:c>
      <x:c r="C5" s="25"/>
      <x:c r="D5" s="19" t="n">
        <x:f>D4+K4+IF($A5=DATE(2026,6,1),14136.37,0)-IF($A5=DATE(2026,6,16),7878.665*'分摊计算'!$C$4,0)-IF($A5=DATE(2026,6,17),7878.665*'分摊计算'!$C$4,0)</x:f>
        <x:v>13606.953765161634</x:v>
      </x:c>
      <x:c r="E5" s="19" t="n">
        <x:f>E4+L4+IF($A5=DATE(2026,6,1),5000,0)-IF($A5=DATE(2026,6,16),7878.665*'分摊计算'!$C$5,0)-IF($A5=DATE(2026,6,17),7878.665*'分摊计算'!$C$5,0)</x:f>
        <x:v>4812.74675364384</x:v>
      </x:c>
      <x:c r="F5" s="19" t="n">
        <x:f>F4+M4+IF($A5=DATE(2026,6,1),7000,0)-IF($A5=DATE(2026,6,16),7878.665*'分摊计算'!$C$6,0)-IF($A5=DATE(2026,6,17),7878.665*'分摊计算'!$C$6,0)</x:f>
        <x:v>6737.845455101376</x:v>
      </x:c>
      <x:c r="G5" s="19" t="n">
        <x:f>G4+O4+IF($A5=DATE(2026,6,1),1500,0)</x:f>
        <x:v>1443.8240260931518</x:v>
      </x:c>
      <x:c r="H5" s="19" t="n">
        <x:f>H4+N4+IF($A5=DATE(2026,6,15),6000,0)-IF($A5=DATE(2026,6,16),6000,0)+IF($A5=DATE(2026,6,16),10000,0)-IF($A5=DATE(2026,6,17),3300,0)-IF($A5=DATE(2026,6,22),5000,0)</x:f>
        <x:v>0</x:v>
      </x:c>
      <x:c r="I5" s="19" t="n">
        <x:f>I4+P4+IF($A5=DATE(2026,6,17),9000,0)+IF($A5=DATE(2026,6,22),1000,0)</x:f>
        <x:v>0</x:v>
      </x:c>
      <x:c r="J5" s="19" t="n">
        <x:f>SUM(D5:I5)</x:f>
        <x:v>26601.370000000003</x:v>
      </x:c>
      <x:c r="K5" s="19" t="n">
        <x:f>IFERROR($B5*D5/$J5,0)</x:f>
        <x:v>136.5740431901874</x:v>
      </x:c>
      <x:c r="L5" s="19" t="n">
        <x:f>IFERROR($B5*E5/$J5,0)</x:f>
        <x:v>48.30590992956021</x:v>
      </x:c>
      <x:c r="M5" s="19" t="n">
        <x:f>IFERROR($B5*F5/$J5,0)</x:f>
        <x:v>67.62827390138429</x:v>
      </x:c>
      <x:c r="N5" s="19" t="n">
        <x:f>IFERROR($B5*H5/$J5,0)</x:f>
        <x:v>0</x:v>
      </x:c>
      <x:c r="O5" s="19" t="n">
        <x:f>IFERROR($B5*G5/$J5,0)</x:f>
        <x:v>14.491772978868061</x:v>
      </x:c>
      <x:c r="P5" s="19" t="n">
        <x:f>IFERROR($B5*I5/$J5,0)</x:f>
        <x:v>0</x:v>
      </x:c>
    </x:row>
    <x:row r="6">
      <x:c r="A6" s="24" t="n">
        <x:v>46176</x:v>
      </x:c>
      <x:c r="B6" s="25" t="n">
        <x:v>-1272</x:v>
      </x:c>
      <x:c r="C6" s="25"/>
      <x:c r="D6" s="19" t="n">
        <x:f>D5+K5+IF($A6=DATE(2026,6,1),14136.37,0)-IF($A6=DATE(2026,6,16),7878.665*'分摊计算'!$C$4,0)-IF($A6=DATE(2026,6,17),7878.665*'分摊计算'!$C$4,0)</x:f>
        <x:v>13743.52780835182</x:v>
      </x:c>
      <x:c r="E6" s="19" t="n">
        <x:f>E5+L5+IF($A6=DATE(2026,6,1),5000,0)-IF($A6=DATE(2026,6,16),7878.665*'分摊计算'!$C$5,0)-IF($A6=DATE(2026,6,17),7878.665*'分摊计算'!$C$5,0)</x:f>
        <x:v>4861.0526635734</x:v>
      </x:c>
      <x:c r="F6" s="19" t="n">
        <x:f>F5+M5+IF($A6=DATE(2026,6,1),7000,0)-IF($A6=DATE(2026,6,16),7878.665*'分摊计算'!$C$6,0)-IF($A6=DATE(2026,6,17),7878.665*'分摊计算'!$C$6,0)</x:f>
        <x:v>6805.47372900276</x:v>
      </x:c>
      <x:c r="G6" s="19" t="n">
        <x:f>G5+O5+IF($A6=DATE(2026,6,1),1500,0)</x:f>
        <x:v>1458.31579907202</x:v>
      </x:c>
      <x:c r="H6" s="19" t="n">
        <x:f>H5+N5+IF($A6=DATE(2026,6,15),6000,0)-IF($A6=DATE(2026,6,16),6000,0)+IF($A6=DATE(2026,6,16),10000,0)-IF($A6=DATE(2026,6,17),3300,0)-IF($A6=DATE(2026,6,22),5000,0)</x:f>
        <x:v>0</x:v>
      </x:c>
      <x:c r="I6" s="19" t="n">
        <x:f>I5+P5+IF($A6=DATE(2026,6,17),9000,0)+IF($A6=DATE(2026,6,22),1000,0)</x:f>
        <x:v>0</x:v>
      </x:c>
      <x:c r="J6" s="19" t="n">
        <x:f>SUM(D6:I6)</x:f>
        <x:v>26868.37</x:v>
      </x:c>
      <x:c r="K6" s="19" t="n">
        <x:f>IFERROR($B6*D6/$J6,0)</x:f>
        <x:v>-650.6448799172974</x:v>
      </x:c>
      <x:c r="L6" s="19" t="n">
        <x:f>IFERROR($B6*E6/$J6,0)</x:f>
        <x:v>-230.13152595655657</x:v>
      </x:c>
      <x:c r="M6" s="19" t="n">
        <x:f>IFERROR($B6*F6/$J6,0)</x:f>
        <x:v>-322.18413633917913</x:v>
      </x:c>
      <x:c r="N6" s="19" t="n">
        <x:f>IFERROR($B6*H6/$J6,0)</x:f>
        <x:v>0</x:v>
      </x:c>
      <x:c r="O6" s="19" t="n">
        <x:f>IFERROR($B6*G6/$J6,0)</x:f>
        <x:v>-69.03945778696695</x:v>
      </x:c>
      <x:c r="P6" s="19" t="n">
        <x:f>IFERROR($B6*I6/$J6,0)</x:f>
        <x:v>0</x:v>
      </x:c>
    </x:row>
    <x:row r="7">
      <x:c r="A7" s="24" t="n">
        <x:v>46177</x:v>
      </x:c>
      <x:c r="B7" s="25" t="n">
        <x:v>1134</x:v>
      </x:c>
      <x:c r="C7" s="25"/>
      <x:c r="D7" s="19" t="n">
        <x:f>D6+K6+IF($A7=DATE(2026,6,1),14136.37,0)-IF($A7=DATE(2026,6,16),7878.665*'分摊计算'!$C$4,0)-IF($A7=DATE(2026,6,17),7878.665*'分摊计算'!$C$4,0)</x:f>
        <x:v>13092.882928434523</x:v>
      </x:c>
      <x:c r="E7" s="19" t="n">
        <x:f>E6+L6+IF($A7=DATE(2026,6,1),5000,0)-IF($A7=DATE(2026,6,16),7878.665*'分摊计算'!$C$5,0)-IF($A7=DATE(2026,6,17),7878.665*'分摊计算'!$C$5,0)</x:f>
        <x:v>4630.921137616844</x:v>
      </x:c>
      <x:c r="F7" s="19" t="n">
        <x:f>F6+M6+IF($A7=DATE(2026,6,1),7000,0)-IF($A7=DATE(2026,6,16),7878.665*'分摊计算'!$C$6,0)-IF($A7=DATE(2026,6,17),7878.665*'分摊计算'!$C$6,0)</x:f>
        <x:v>6483.28959266358</x:v>
      </x:c>
      <x:c r="G7" s="19" t="n">
        <x:f>G6+O6+IF($A7=DATE(2026,6,1),1500,0)</x:f>
        <x:v>1389.276341285053</x:v>
      </x:c>
      <x:c r="H7" s="19" t="n">
        <x:f>H6+N6+IF($A7=DATE(2026,6,15),6000,0)-IF($A7=DATE(2026,6,16),6000,0)+IF($A7=DATE(2026,6,16),10000,0)-IF($A7=DATE(2026,6,17),3300,0)-IF($A7=DATE(2026,6,22),5000,0)</x:f>
        <x:v>0</x:v>
      </x:c>
      <x:c r="I7" s="19" t="n">
        <x:f>I6+P6+IF($A7=DATE(2026,6,17),9000,0)+IF($A7=DATE(2026,6,22),1000,0)</x:f>
        <x:v>0</x:v>
      </x:c>
      <x:c r="J7" s="19" t="n">
        <x:f>SUM(D7:I7)</x:f>
        <x:v>25596.37</x:v>
      </x:c>
      <x:c r="K7" s="19" t="n">
        <x:f>IFERROR($B7*D7/$J7,0)</x:f>
        <x:v>580.0560486055151</x:v>
      </x:c>
      <x:c r="L7" s="19" t="n">
        <x:f>IFERROR($B7*E7/$J7,0)</x:f>
        <x:v>205.16442644240183</x:v>
      </x:c>
      <x:c r="M7" s="19" t="n">
        <x:f>IFERROR($B7*F7/$J7,0)</x:f>
        <x:v>287.2301970193625</x:v>
      </x:c>
      <x:c r="N7" s="19" t="n">
        <x:f>IFERROR($B7*H7/$J7,0)</x:f>
        <x:v>0</x:v>
      </x:c>
      <x:c r="O7" s="19" t="n">
        <x:f>IFERROR($B7*G7/$J7,0)</x:f>
        <x:v>61.54932793272054</x:v>
      </x:c>
      <x:c r="P7" s="19" t="n">
        <x:f>IFERROR($B7*I7/$J7,0)</x:f>
        <x:v>0</x:v>
      </x:c>
    </x:row>
    <x:row r="8">
      <x:c r="A8" s="24" t="n">
        <x:v>46178</x:v>
      </x:c>
      <x:c r="B8" s="25" t="n">
        <x:v>-1202</x:v>
      </x:c>
      <x:c r="C8" s="25"/>
      <x:c r="D8" s="19" t="n">
        <x:f>D7+K7+IF($A8=DATE(2026,6,1),14136.37,0)-IF($A8=DATE(2026,6,16),7878.665*'分摊计算'!$C$4,0)-IF($A8=DATE(2026,6,17),7878.665*'分摊计算'!$C$4,0)</x:f>
        <x:v>13672.938977040038</x:v>
      </x:c>
      <x:c r="E8" s="19" t="n">
        <x:f>E7+L7+IF($A8=DATE(2026,6,1),5000,0)-IF($A8=DATE(2026,6,16),7878.665*'分摊计算'!$C$5,0)-IF($A8=DATE(2026,6,17),7878.665*'分摊计算'!$C$5,0)</x:f>
        <x:v>4836.085564059246</x:v>
      </x:c>
      <x:c r="F8" s="19" t="n">
        <x:f>F7+M7+IF($A8=DATE(2026,6,1),7000,0)-IF($A8=DATE(2026,6,16),7878.665*'分摊计算'!$C$6,0)-IF($A8=DATE(2026,6,17),7878.665*'分摊计算'!$C$6,0)</x:f>
        <x:v>6770.519789682942</x:v>
      </x:c>
      <x:c r="G8" s="19" t="n">
        <x:f>G7+O7+IF($A8=DATE(2026,6,1),1500,0)</x:f>
        <x:v>1450.8256692177736</x:v>
      </x:c>
      <x:c r="H8" s="19" t="n">
        <x:f>H7+N7+IF($A8=DATE(2026,6,15),6000,0)-IF($A8=DATE(2026,6,16),6000,0)+IF($A8=DATE(2026,6,16),10000,0)-IF($A8=DATE(2026,6,17),3300,0)-IF($A8=DATE(2026,6,22),5000,0)</x:f>
        <x:v>0</x:v>
      </x:c>
      <x:c r="I8" s="19" t="n">
        <x:f>I7+P7+IF($A8=DATE(2026,6,17),9000,0)+IF($A8=DATE(2026,6,22),1000,0)</x:f>
        <x:v>0</x:v>
      </x:c>
      <x:c r="J8" s="19" t="n">
        <x:f>SUM(D8:I8)</x:f>
        <x:v>26730.37</x:v>
      </x:c>
      <x:c r="K8" s="19" t="n">
        <x:f>IFERROR($B8*D8/$J8,0)</x:f>
        <x:v>-614.838950991031</x:v>
      </x:c>
      <x:c r="L8" s="19" t="n">
        <x:f>IFERROR($B8*E8/$J8,0)</x:f>
        <x:v>-217.4670551885071</x:v>
      </x:c>
      <x:c r="M8" s="19" t="n">
        <x:f>IFERROR($B8*F8/$J8,0)</x:f>
        <x:v>-304.4538772639098</x:v>
      </x:c>
      <x:c r="N8" s="19" t="n">
        <x:f>IFERROR($B8*H8/$J8,0)</x:f>
        <x:v>0</x:v>
      </x:c>
      <x:c r="O8" s="19" t="n">
        <x:f>IFERROR($B8*G8/$J8,0)</x:f>
        <x:v>-65.24011655655211</x:v>
      </x:c>
      <x:c r="P8" s="19" t="n">
        <x:f>IFERROR($B8*I8/$J8,0)</x:f>
        <x:v>0</x:v>
      </x:c>
    </x:row>
    <x:row r="9">
      <x:c r="A9" s="24" t="n">
        <x:v>46181</x:v>
      </x:c>
      <x:c r="B9" s="25" t="n">
        <x:v>-674</x:v>
      </x:c>
      <x:c r="C9" s="25"/>
      <x:c r="D9" s="19" t="n">
        <x:f>D8+K8+IF($A9=DATE(2026,6,1),14136.37,0)-IF($A9=DATE(2026,6,16),7878.665*'分摊计算'!$C$4,0)-IF($A9=DATE(2026,6,17),7878.665*'分摊计算'!$C$4,0)</x:f>
        <x:v>13058.100026049007</x:v>
      </x:c>
      <x:c r="E9" s="19" t="n">
        <x:f>E8+L8+IF($A9=DATE(2026,6,1),5000,0)-IF($A9=DATE(2026,6,16),7878.665*'分摊计算'!$C$5,0)-IF($A9=DATE(2026,6,17),7878.665*'分摊计算'!$C$5,0)</x:f>
        <x:v>4618.618508870739</x:v>
      </x:c>
      <x:c r="F9" s="19" t="n">
        <x:f>F8+M8+IF($A9=DATE(2026,6,1),7000,0)-IF($A9=DATE(2026,6,16),7878.665*'分摊计算'!$C$6,0)-IF($A9=DATE(2026,6,17),7878.665*'分摊计算'!$C$6,0)</x:f>
        <x:v>6466.065912419032</x:v>
      </x:c>
      <x:c r="G9" s="19" t="n">
        <x:f>G8+O8+IF($A9=DATE(2026,6,1),1500,0)</x:f>
        <x:v>1385.5855526612215</x:v>
      </x:c>
      <x:c r="H9" s="19" t="n">
        <x:f>H8+N8+IF($A9=DATE(2026,6,15),6000,0)-IF($A9=DATE(2026,6,16),6000,0)+IF($A9=DATE(2026,6,16),10000,0)-IF($A9=DATE(2026,6,17),3300,0)-IF($A9=DATE(2026,6,22),5000,0)</x:f>
        <x:v>0</x:v>
      </x:c>
      <x:c r="I9" s="19" t="n">
        <x:f>I8+P8+IF($A9=DATE(2026,6,17),9000,0)+IF($A9=DATE(2026,6,22),1000,0)</x:f>
        <x:v>0</x:v>
      </x:c>
      <x:c r="J9" s="19" t="n">
        <x:f>SUM(D9:I9)</x:f>
        <x:v>25528.37</x:v>
      </x:c>
      <x:c r="K9" s="19" t="n">
        <x:f>IFERROR($B9*D9/$J9,0)</x:f>
        <x:v>-344.75994423290757</x:v>
      </x:c>
      <x:c r="L9" s="19" t="n">
        <x:f>IFERROR($B9*E9/$J9,0)</x:f>
        <x:v>-121.94076139521944</x:v>
      </x:c>
      <x:c r="M9" s="19" t="n">
        <x:f>IFERROR($B9*F9/$J9,0)</x:f>
        <x:v>-170.71706595330716</x:v>
      </x:c>
      <x:c r="N9" s="19" t="n">
        <x:f>IFERROR($B9*H9/$J9,0)</x:f>
        <x:v>0</x:v>
      </x:c>
      <x:c r="O9" s="19" t="n">
        <x:f>IFERROR($B9*G9/$J9,0)</x:f>
        <x:v>-36.582228418565826</x:v>
      </x:c>
      <x:c r="P9" s="19" t="n">
        <x:f>IFERROR($B9*I9/$J9,0)</x:f>
        <x:v>0</x:v>
      </x:c>
    </x:row>
    <x:row r="10">
      <x:c r="A10" s="24" t="n">
        <x:v>46182</x:v>
      </x:c>
      <x:c r="B10" s="25" t="n">
        <x:v>563</x:v>
      </x:c>
      <x:c r="C10" s="25"/>
      <x:c r="D10" s="19" t="n">
        <x:f>D9+K9+IF($A10=DATE(2026,6,1),14136.37,0)-IF($A10=DATE(2026,6,16),7878.665*'分摊计算'!$C$4,0)-IF($A10=DATE(2026,6,17),7878.665*'分摊计算'!$C$4,0)</x:f>
        <x:v>12713.340081816099</x:v>
      </x:c>
      <x:c r="E10" s="19" t="n">
        <x:f>E9+L9+IF($A10=DATE(2026,6,1),5000,0)-IF($A10=DATE(2026,6,16),7878.665*'分摊计算'!$C$5,0)-IF($A10=DATE(2026,6,17),7878.665*'分摊计算'!$C$5,0)</x:f>
        <x:v>4496.677747475519</x:v>
      </x:c>
      <x:c r="F10" s="19" t="n">
        <x:f>F9+M9+IF($A10=DATE(2026,6,1),7000,0)-IF($A10=DATE(2026,6,16),7878.665*'分摊计算'!$C$6,0)-IF($A10=DATE(2026,6,17),7878.665*'分摊计算'!$C$6,0)</x:f>
        <x:v>6295.348846465726</x:v>
      </x:c>
      <x:c r="G10" s="19" t="n">
        <x:f>G9+O9+IF($A10=DATE(2026,6,1),1500,0)</x:f>
        <x:v>1349.0033242426557</x:v>
      </x:c>
      <x:c r="H10" s="19" t="n">
        <x:f>H9+N9+IF($A10=DATE(2026,6,15),6000,0)-IF($A10=DATE(2026,6,16),6000,0)+IF($A10=DATE(2026,6,16),10000,0)-IF($A10=DATE(2026,6,17),3300,0)-IF($A10=DATE(2026,6,22),5000,0)</x:f>
        <x:v>0</x:v>
      </x:c>
      <x:c r="I10" s="19" t="n">
        <x:f>I9+P9+IF($A10=DATE(2026,6,17),9000,0)+IF($A10=DATE(2026,6,22),1000,0)</x:f>
        <x:v>0</x:v>
      </x:c>
      <x:c r="J10" s="19" t="n">
        <x:f>SUM(D10:I10)</x:f>
        <x:v>24854.37</x:v>
      </x:c>
      <x:c r="K10" s="19" t="n">
        <x:f>IFERROR($B10*D10/$J10,0)</x:f>
        <x:v>287.98197122125663</x:v>
      </x:c>
      <x:c r="L10" s="19" t="n">
        <x:f>IFERROR($B10*E10/$J10,0)</x:f>
        <x:v>101.85852917731238</x:v>
      </x:c>
      <x:c r="M10" s="19" t="n">
        <x:f>IFERROR($B10*F10/$J10,0)</x:f>
        <x:v>142.6019408482373</x:v>
      </x:c>
      <x:c r="N10" s="19" t="n">
        <x:f>IFERROR($B10*H10/$J10,0)</x:f>
        <x:v>0</x:v>
      </x:c>
      <x:c r="O10" s="19" t="n">
        <x:f>IFERROR($B10*G10/$J10,0)</x:f>
        <x:v>30.55755875319371</x:v>
      </x:c>
      <x:c r="P10" s="19" t="n">
        <x:f>IFERROR($B10*I10/$J10,0)</x:f>
        <x:v>0</x:v>
      </x:c>
    </x:row>
    <x:row r="11">
      <x:c r="A11" s="24" t="n">
        <x:v>46183</x:v>
      </x:c>
      <x:c r="B11" s="25" t="n">
        <x:v>-127</x:v>
      </x:c>
      <x:c r="C11" s="25"/>
      <x:c r="D11" s="19" t="n">
        <x:f>D10+K10+IF($A11=DATE(2026,6,1),14136.37,0)-IF($A11=DATE(2026,6,16),7878.665*'分摊计算'!$C$4,0)-IF($A11=DATE(2026,6,17),7878.665*'分摊计算'!$C$4,0)</x:f>
        <x:v>13001.322053037356</x:v>
      </x:c>
      <x:c r="E11" s="19" t="n">
        <x:f>E10+L10+IF($A11=DATE(2026,6,1),5000,0)-IF($A11=DATE(2026,6,16),7878.665*'分摊计算'!$C$5,0)-IF($A11=DATE(2026,6,17),7878.665*'分摊计算'!$C$5,0)</x:f>
        <x:v>4598.5362766528315</x:v>
      </x:c>
      <x:c r="F11" s="19" t="n">
        <x:f>F10+M10+IF($A11=DATE(2026,6,1),7000,0)-IF($A11=DATE(2026,6,16),7878.665*'分摊计算'!$C$6,0)-IF($A11=DATE(2026,6,17),7878.665*'分摊计算'!$C$6,0)</x:f>
        <x:v>6437.950787313963</x:v>
      </x:c>
      <x:c r="G11" s="19" t="n">
        <x:f>G10+O10+IF($A11=DATE(2026,6,1),1500,0)</x:f>
        <x:v>1379.5608829958494</x:v>
      </x:c>
      <x:c r="H11" s="19" t="n">
        <x:f>H10+N10+IF($A11=DATE(2026,6,15),6000,0)-IF($A11=DATE(2026,6,16),6000,0)+IF($A11=DATE(2026,6,16),10000,0)-IF($A11=DATE(2026,6,17),3300,0)-IF($A11=DATE(2026,6,22),5000,0)</x:f>
        <x:v>0</x:v>
      </x:c>
      <x:c r="I11" s="19" t="n">
        <x:f>I10+P10+IF($A11=DATE(2026,6,17),9000,0)+IF($A11=DATE(2026,6,22),1000,0)</x:f>
        <x:v>0</x:v>
      </x:c>
      <x:c r="J11" s="19" t="n">
        <x:f>SUM(D11:I11)</x:f>
        <x:v>25417.370000000003</x:v>
      </x:c>
      <x:c r="K11" s="19" t="n">
        <x:f>IFERROR($B11*D11/$J11,0)</x:f>
        <x:v>-64.96218533765469</x:v>
      </x:c>
      <x:c r="L11" s="19" t="n">
        <x:f>IFERROR($B11*E11/$J11,0)</x:f>
        <x:v>-22.976968393461224</x:v>
      </x:c>
      <x:c r="M11" s="19" t="n">
        <x:f>IFERROR($B11*F11/$J11,0)</x:f>
        <x:v>-32.16775575084571</x:v>
      </x:c>
      <x:c r="N11" s="19" t="n">
        <x:f>IFERROR($B11*H11/$J11,0)</x:f>
        <x:v>0</x:v>
      </x:c>
      <x:c r="O11" s="19" t="n">
        <x:f>IFERROR($B11*G11/$J11,0)</x:f>
        <x:v>-6.893090518038368</x:v>
      </x:c>
      <x:c r="P11" s="19" t="n">
        <x:f>IFERROR($B11*I11/$J11,0)</x:f>
        <x:v>0</x:v>
      </x:c>
    </x:row>
    <x:row r="12">
      <x:c r="A12" s="24" t="n">
        <x:v>46184</x:v>
      </x:c>
      <x:c r="B12" s="25" t="n">
        <x:v>-2875</x:v>
      </x:c>
      <x:c r="C12" s="25"/>
      <x:c r="D12" s="19" t="n">
        <x:f>D11+K11+IF($A12=DATE(2026,6,1),14136.37,0)-IF($A12=DATE(2026,6,16),7878.665*'分摊计算'!$C$4,0)-IF($A12=DATE(2026,6,17),7878.665*'分摊计算'!$C$4,0)</x:f>
        <x:v>12936.359867699703</x:v>
      </x:c>
      <x:c r="E12" s="19" t="n">
        <x:f>E11+L11+IF($A12=DATE(2026,6,1),5000,0)-IF($A12=DATE(2026,6,16),7878.665*'分摊计算'!$C$5,0)-IF($A12=DATE(2026,6,17),7878.665*'分摊计算'!$C$5,0)</x:f>
        <x:v>4575.5593082593705</x:v>
      </x:c>
      <x:c r="F12" s="19" t="n">
        <x:f>F11+M11+IF($A12=DATE(2026,6,1),7000,0)-IF($A12=DATE(2026,6,16),7878.665*'分摊计算'!$C$6,0)-IF($A12=DATE(2026,6,17),7878.665*'分摊计算'!$C$6,0)</x:f>
        <x:v>6405.783031563117</x:v>
      </x:c>
      <x:c r="G12" s="19" t="n">
        <x:f>G11+O11+IF($A12=DATE(2026,6,1),1500,0)</x:f>
        <x:v>1372.667792477811</x:v>
      </x:c>
      <x:c r="H12" s="19" t="n">
        <x:f>H11+N11+IF($A12=DATE(2026,6,15),6000,0)-IF($A12=DATE(2026,6,16),6000,0)+IF($A12=DATE(2026,6,16),10000,0)-IF($A12=DATE(2026,6,17),3300,0)-IF($A12=DATE(2026,6,22),5000,0)</x:f>
        <x:v>0</x:v>
      </x:c>
      <x:c r="I12" s="19" t="n">
        <x:f>I11+P11+IF($A12=DATE(2026,6,17),9000,0)+IF($A12=DATE(2026,6,22),1000,0)</x:f>
        <x:v>0</x:v>
      </x:c>
      <x:c r="J12" s="19" t="n">
        <x:f>SUM(D12:I12)</x:f>
        <x:v>25290.370000000003</x:v>
      </x:c>
      <x:c r="K12" s="19" t="n">
        <x:f>IFERROR($B12*D12/$J12,0)</x:f>
        <x:v>-1470.6006523287972</x:v>
      </x:c>
      <x:c r="L12" s="19" t="n">
        <x:f>IFERROR($B12*E12/$J12,0)</x:f>
        <x:v>-520.14790654489</x:v>
      </x:c>
      <x:c r="M12" s="19" t="n">
        <x:f>IFERROR($B12*F12/$J12,0)</x:f>
        <x:v>-728.2070691628458</x:v>
      </x:c>
      <x:c r="N12" s="19" t="n">
        <x:f>IFERROR($B12*H12/$J12,0)</x:f>
        <x:v>0</x:v>
      </x:c>
      <x:c r="O12" s="19" t="n">
        <x:f>IFERROR($B12*G12/$J12,0)</x:f>
        <x:v>-156.04437196346697</x:v>
      </x:c>
      <x:c r="P12" s="19" t="n">
        <x:f>IFERROR($B12*I12/$J12,0)</x:f>
        <x:v>0</x:v>
      </x:c>
    </x:row>
    <x:row r="13">
      <x:c r="A13" s="24" t="n">
        <x:v>46185</x:v>
      </x:c>
      <x:c r="B13" s="25" t="n">
        <x:v>-1529</x:v>
      </x:c>
      <x:c r="C13" s="25"/>
      <x:c r="D13" s="19" t="n">
        <x:f>D12+K12+IF($A13=DATE(2026,6,1),14136.37,0)-IF($A13=DATE(2026,6,16),7878.665*'分摊计算'!$C$4,0)-IF($A13=DATE(2026,6,17),7878.665*'分摊计算'!$C$4,0)</x:f>
        <x:v>11465.759215370905</x:v>
      </x:c>
      <x:c r="E13" s="19" t="n">
        <x:f>E12+L12+IF($A13=DATE(2026,6,1),5000,0)-IF($A13=DATE(2026,6,16),7878.665*'分摊计算'!$C$5,0)-IF($A13=DATE(2026,6,17),7878.665*'分摊计算'!$C$5,0)</x:f>
        <x:v>4055.4114017144802</x:v>
      </x:c>
      <x:c r="F13" s="19" t="n">
        <x:f>F12+M12+IF($A13=DATE(2026,6,1),7000,0)-IF($A13=DATE(2026,6,16),7878.665*'分摊计算'!$C$6,0)-IF($A13=DATE(2026,6,17),7878.665*'分摊计算'!$C$6,0)</x:f>
        <x:v>5677.575962400271</x:v>
      </x:c>
      <x:c r="G13" s="19" t="n">
        <x:f>G12+O12+IF($A13=DATE(2026,6,1),1500,0)</x:f>
        <x:v>1216.623420514344</x:v>
      </x:c>
      <x:c r="H13" s="19" t="n">
        <x:f>H12+N12+IF($A13=DATE(2026,6,15),6000,0)-IF($A13=DATE(2026,6,16),6000,0)+IF($A13=DATE(2026,6,16),10000,0)-IF($A13=DATE(2026,6,17),3300,0)-IF($A13=DATE(2026,6,22),5000,0)</x:f>
        <x:v>0</x:v>
      </x:c>
      <x:c r="I13" s="19" t="n">
        <x:f>I12+P12+IF($A13=DATE(2026,6,17),9000,0)+IF($A13=DATE(2026,6,22),1000,0)</x:f>
        <x:v>0</x:v>
      </x:c>
      <x:c r="J13" s="19" t="n">
        <x:f>SUM(D13:I13)</x:f>
        <x:v>22415.37</x:v>
      </x:c>
      <x:c r="K13" s="19" t="n">
        <x:f>IFERROR($B13*D13/$J13,0)</x:f>
        <x:v>-782.1037904037325</x:v>
      </x:c>
      <x:c r="L13" s="19" t="n">
        <x:f>IFERROR($B13*E13/$J13,0)</x:f>
        <x:v>-276.6282257763954</x:v>
      </x:c>
      <x:c r="M13" s="19" t="n">
        <x:f>IFERROR($B13*F13/$J13,0)</x:f>
        <x:v>-387.2795160869535</x:v>
      </x:c>
      <x:c r="N13" s="19" t="n">
        <x:f>IFERROR($B13*H13/$J13,0)</x:f>
        <x:v>0</x:v>
      </x:c>
      <x:c r="O13" s="19" t="n">
        <x:f>IFERROR($B13*G13/$J13,0)</x:f>
        <x:v>-82.98846773291861</x:v>
      </x:c>
      <x:c r="P13" s="19" t="n">
        <x:f>IFERROR($B13*I13/$J13,0)</x:f>
        <x:v>0</x:v>
      </x:c>
    </x:row>
    <x:row r="14">
      <x:c r="A14" s="24" t="n">
        <x:v>46188</x:v>
      </x:c>
      <x:c r="B14" s="25" t="n">
        <x:v>1811</x:v>
      </x:c>
      <x:c r="C14" s="25"/>
      <x:c r="D14" s="19" t="n">
        <x:f>D13+K13+IF($A14=DATE(2026,6,1),14136.37,0)-IF($A14=DATE(2026,6,16),7878.665*'分摊计算'!$C$4,0)-IF($A14=DATE(2026,6,17),7878.665*'分摊计算'!$C$4,0)</x:f>
        <x:v>10683.655424967172</x:v>
      </x:c>
      <x:c r="E14" s="19" t="n">
        <x:f>E13+L13+IF($A14=DATE(2026,6,1),5000,0)-IF($A14=DATE(2026,6,16),7878.665*'分摊计算'!$C$5,0)-IF($A14=DATE(2026,6,17),7878.665*'分摊计算'!$C$5,0)</x:f>
        <x:v>3778.7831759380847</x:v>
      </x:c>
      <x:c r="F14" s="19" t="n">
        <x:f>F13+M13+IF($A14=DATE(2026,6,1),7000,0)-IF($A14=DATE(2026,6,16),7878.665*'分摊计算'!$C$6,0)-IF($A14=DATE(2026,6,17),7878.665*'分摊计算'!$C$6,0)</x:f>
        <x:v>5290.296446313318</x:v>
      </x:c>
      <x:c r="G14" s="19" t="n">
        <x:f>G13+O13+IF($A14=DATE(2026,6,1),1500,0)</x:f>
        <x:v>1133.6349527814252</x:v>
      </x:c>
      <x:c r="H14" s="19" t="n">
        <x:f>H13+N13+IF($A14=DATE(2026,6,15),6000,0)-IF($A14=DATE(2026,6,16),6000,0)+IF($A14=DATE(2026,6,16),10000,0)-IF($A14=DATE(2026,6,17),3300,0)-IF($A14=DATE(2026,6,22),5000,0)</x:f>
        <x:v>6000</x:v>
      </x:c>
      <x:c r="I14" s="19" t="n">
        <x:f>I13+P13+IF($A14=DATE(2026,6,17),9000,0)+IF($A14=DATE(2026,6,22),1000,0)</x:f>
        <x:v>0</x:v>
      </x:c>
      <x:c r="J14" s="19" t="n">
        <x:f>SUM(D14:I14)</x:f>
        <x:v>26886.369999999995</x:v>
      </x:c>
      <x:c r="K14" s="19" t="n">
        <x:f>IFERROR($B14*D14/$J14,0)</x:f>
        <x:v>719.6248498631668</x:v>
      </x:c>
      <x:c r="L14" s="19" t="n">
        <x:f>IFERROR($B14*E14/$J14,0)</x:f>
        <x:v>254.52957508298343</x:v>
      </x:c>
      <x:c r="M14" s="19" t="n">
        <x:f>IFERROR($B14*F14/$J14,0)</x:f>
        <x:v>356.3414051161767</x:v>
      </x:c>
      <x:c r="N14" s="19" t="n">
        <x:f>IFERROR($B14*H14/$J14,0)</x:f>
        <x:v>404.14529741277835</x:v>
      </x:c>
      <x:c r="O14" s="19" t="n">
        <x:f>IFERROR($B14*G14/$J14,0)</x:f>
        <x:v>76.358872524895</x:v>
      </x:c>
      <x:c r="P14" s="19" t="n">
        <x:f>IFERROR($B14*I14/$J14,0)</x:f>
        <x:v>0</x:v>
      </x:c>
    </x:row>
    <x:row r="15">
      <x:c r="A15" s="24" t="n">
        <x:v>46189</x:v>
      </x:c>
      <x:c r="B15" s="25" t="n">
        <x:v>1669</x:v>
      </x:c>
      <x:c r="C15" s="25"/>
      <x:c r="D15" s="19" t="n">
        <x:f>D14+K14+IF($A15=DATE(2026,6,1),14136.37,0)-IF($A15=DATE(2026,6,16),7878.665*'分摊计算'!$C$4,0)-IF($A15=DATE(2026,6,17),7878.665*'分摊计算'!$C$4,0)</x:f>
        <x:v>7141.949281044667</x:v>
      </x:c>
      <x:c r="E15" s="19" t="n">
        <x:f>E14+L14+IF($A15=DATE(2026,6,1),5000,0)-IF($A15=DATE(2026,6,16),7878.665*'分摊计算'!$C$5,0)-IF($A15=DATE(2026,6,17),7878.665*'分摊计算'!$C$5,0)</x:f>
        <x:v>2526.090248431764</x:v>
      </x:c>
      <x:c r="F15" s="19" t="n">
        <x:f>F14+M14+IF($A15=DATE(2026,6,1),7000,0)-IF($A15=DATE(2026,6,16),7878.665*'分摊计算'!$C$6,0)-IF($A15=DATE(2026,6,17),7878.665*'分摊计算'!$C$6,0)</x:f>
        <x:v>3536.526347804469</x:v>
      </x:c>
      <x:c r="G15" s="19" t="n">
        <x:f>G14+O14+IF($A15=DATE(2026,6,1),1500,0)</x:f>
        <x:v>1209.9938253063203</x:v>
      </x:c>
      <x:c r="H15" s="19" t="n">
        <x:f>H14+N14+IF($A15=DATE(2026,6,15),6000,0)-IF($A15=DATE(2026,6,16),6000,0)+IF($A15=DATE(2026,6,16),10000,0)-IF($A15=DATE(2026,6,17),3300,0)-IF($A15=DATE(2026,6,22),5000,0)</x:f>
        <x:v>10404.145297412779</x:v>
      </x:c>
      <x:c r="I15" s="19" t="n">
        <x:f>I14+P14+IF($A15=DATE(2026,6,17),9000,0)+IF($A15=DATE(2026,6,22),1000,0)</x:f>
        <x:v>0</x:v>
      </x:c>
      <x:c r="J15" s="19" t="n">
        <x:f>SUM(D15:I15)</x:f>
        <x:v>24818.705</x:v>
      </x:c>
      <x:c r="K15" s="19" t="n">
        <x:f>IFERROR($B15*D15/$J15,0)</x:f>
        <x:v>480.2794243319121</x:v>
      </x:c>
      <x:c r="L15" s="19" t="n">
        <x:f>IFERROR($B15*E15/$J15,0)</x:f>
        <x:v>169.87367490095124</x:v>
      </x:c>
      <x:c r="M15" s="19" t="n">
        <x:f>IFERROR($B15*F15/$J15,0)</x:f>
        <x:v>237.82314486133174</x:v>
      </x:c>
      <x:c r="N15" s="19" t="n">
        <x:f>IFERROR($B15*H15/$J15,0)</x:f>
        <x:v>699.6544945186272</x:v>
      </x:c>
      <x:c r="O15" s="19" t="n">
        <x:f>IFERROR($B15*G15/$J15,0)</x:f>
        <x:v>81.36926138717747</x:v>
      </x:c>
      <x:c r="P15" s="19" t="n">
        <x:f>IFERROR($B15*I15/$J15,0)</x:f>
        <x:v>0</x:v>
      </x:c>
    </x:row>
    <x:row r="16">
      <x:c r="A16" s="24" t="n">
        <x:v>46190</x:v>
      </x:c>
      <x:c r="B16" s="25" t="n">
        <x:v>118</x:v>
      </x:c>
      <x:c r="C16" s="25"/>
      <x:c r="D16" s="19" t="n">
        <x:f>D15+K15+IF($A16=DATE(2026,6,1),14136.37,0)-IF($A16=DATE(2026,6,16),7878.665*'分摊计算'!$C$4,0)-IF($A16=DATE(2026,6,17),7878.665*'分摊计算'!$C$4,0)</x:f>
        <x:v>3360.8977115909083</x:v>
      </x:c>
      <x:c r="E16" s="19" t="n">
        <x:f>E15+L15+IF($A16=DATE(2026,6,1),5000,0)-IF($A16=DATE(2026,6,16),7878.665*'分摊计算'!$C$5,0)-IF($A16=DATE(2026,6,17),7878.665*'分摊计算'!$C$5,0)</x:f>
        <x:v>1188.7414207434115</x:v>
      </x:c>
      <x:c r="F16" s="19" t="n">
        <x:f>F15+M15+IF($A16=DATE(2026,6,1),7000,0)-IF($A16=DATE(2026,6,16),7878.665*'分摊计算'!$C$6,0)-IF($A16=DATE(2026,6,17),7878.665*'分摊计算'!$C$6,0)</x:f>
        <x:v>1664.237989040776</x:v>
      </x:c>
      <x:c r="G16" s="19" t="n">
        <x:f>G15+O15+IF($A16=DATE(2026,6,1),1500,0)</x:f>
        <x:v>1291.3630866934977</x:v>
      </x:c>
      <x:c r="H16" s="19" t="n">
        <x:f>H15+N15+IF($A16=DATE(2026,6,15),6000,0)-IF($A16=DATE(2026,6,16),6000,0)+IF($A16=DATE(2026,6,16),10000,0)-IF($A16=DATE(2026,6,17),3300,0)-IF($A16=DATE(2026,6,22),5000,0)</x:f>
        <x:v>7803.799791931406</x:v>
      </x:c>
      <x:c r="I16" s="19" t="n">
        <x:f>I15+P15+IF($A16=DATE(2026,6,17),9000,0)+IF($A16=DATE(2026,6,22),1000,0)</x:f>
        <x:v>9000</x:v>
      </x:c>
      <x:c r="J16" s="19" t="n">
        <x:f>SUM(D16:I16)</x:f>
        <x:v>24309.04</x:v>
      </x:c>
      <x:c r="K16" s="19" t="n">
        <x:f>IFERROR($B16*D16/$J16,0)</x:f>
        <x:v>16.314339437827538</x:v>
      </x:c>
      <x:c r="L16" s="19" t="n">
        <x:f>IFERROR($B16*E16/$J16,0)</x:f>
        <x:v>5.770342541199593</x:v>
      </x:c>
      <x:c r="M16" s="19" t="n">
        <x:f>IFERROR($B16*F16/$J16,0)</x:f>
        <x:v>8.07847955767943</x:v>
      </x:c>
      <x:c r="N16" s="19" t="n">
        <x:f>IFERROR($B16*H16/$J16,0)</x:f>
        <x:v>37.88090255509497</x:v>
      </x:c>
      <x:c r="O16" s="19" t="n">
        <x:f>IFERROR($B16*G16/$J16,0)</x:f>
        <x:v>6.268484655495763</x:v>
      </x:c>
      <x:c r="P16" s="19" t="n">
        <x:f>IFERROR($B16*I16/$J16,0)</x:f>
        <x:v>43.687451252702694</x:v>
      </x:c>
    </x:row>
    <x:row r="17">
      <x:c r="A17" s="24" t="n">
        <x:v>46191</x:v>
      </x:c>
      <x:c r="B17" s="25" t="n">
        <x:v>-270</x:v>
      </x:c>
      <x:c r="C17" s="25"/>
      <x:c r="D17" s="19" t="n">
        <x:f>D16+K16+IF($A17=DATE(2026,6,1),14136.37,0)-IF($A17=DATE(2026,6,16),7878.665*'分摊计算'!$C$4,0)-IF($A17=DATE(2026,6,17),7878.665*'分摊计算'!$C$4,0)</x:f>
        <x:v>3377.212051028736</x:v>
      </x:c>
      <x:c r="E17" s="19" t="n">
        <x:f>E16+L16+IF($A17=DATE(2026,6,1),5000,0)-IF($A17=DATE(2026,6,16),7878.665*'分摊计算'!$C$5,0)-IF($A17=DATE(2026,6,17),7878.665*'分摊计算'!$C$5,0)</x:f>
        <x:v>1194.511763284611</x:v>
      </x:c>
      <x:c r="F17" s="19" t="n">
        <x:f>F16+M16+IF($A17=DATE(2026,6,1),7000,0)-IF($A17=DATE(2026,6,16),7878.665*'分摊计算'!$C$6,0)-IF($A17=DATE(2026,6,17),7878.665*'分摊计算'!$C$6,0)</x:f>
        <x:v>1672.3164685984555</x:v>
      </x:c>
      <x:c r="G17" s="19" t="n">
        <x:f>G16+O16+IF($A17=DATE(2026,6,1),1500,0)</x:f>
        <x:v>1297.6315713489935</x:v>
      </x:c>
      <x:c r="H17" s="19" t="n">
        <x:f>H16+N16+IF($A17=DATE(2026,6,15),6000,0)-IF($A17=DATE(2026,6,16),6000,0)+IF($A17=DATE(2026,6,16),10000,0)-IF($A17=DATE(2026,6,17),3300,0)-IF($A17=DATE(2026,6,22),5000,0)</x:f>
        <x:v>7841.680694486501</x:v>
      </x:c>
      <x:c r="I17" s="19" t="n">
        <x:f>I16+P16+IF($A17=DATE(2026,6,17),9000,0)+IF($A17=DATE(2026,6,22),1000,0)</x:f>
        <x:v>9043.687451252703</x:v>
      </x:c>
      <x:c r="J17" s="19" t="n">
        <x:f>SUM(D17:I17)</x:f>
        <x:v>24427.04</x:v>
      </x:c>
      <x:c r="K17" s="19" t="n">
        <x:f>IFERROR($B17*D17/$J17,0)</x:f>
        <x:v>-37.32942074757149</x:v>
      </x:c>
      <x:c r="L17" s="19" t="n">
        <x:f>IFERROR($B17*E17/$J17,0)</x:f>
        <x:v>-13.203326153592288</x:v>
      </x:c>
      <x:c r="M17" s="19" t="n">
        <x:f>IFERROR($B17*F17/$J17,0)</x:f>
        <x:v>-18.484656615029202</x:v>
      </x:c>
      <x:c r="N17" s="19" t="n">
        <x:f>IFERROR($B17*H17/$J17,0)</x:f>
        <x:v>-86.67664143962409</x:v>
      </x:c>
      <x:c r="O17" s="19" t="n">
        <x:f>IFERROR($B17*G17/$J17,0)</x:f>
        <x:v>-14.34314285579539</x:v>
      </x:c>
      <x:c r="P17" s="19" t="n">
        <x:f>IFERROR($B17*I17/$J17,0)</x:f>
        <x:v>-99.96281218838753</x:v>
      </x:c>
    </x:row>
    <x:row r="18">
      <x:c r="A18" s="24" t="n">
        <x:v>46195</x:v>
      </x:c>
      <x:c r="B18" s="25" t="n">
        <x:v>1432</x:v>
      </x:c>
      <x:c r="C18" s="25"/>
      <x:c r="D18" s="19" t="n">
        <x:f>D17+K17+IF($A18=DATE(2026,6,1),14136.37,0)-IF($A18=DATE(2026,6,16),7878.665*'分摊计算'!$C$4,0)-IF($A18=DATE(2026,6,17),7878.665*'分摊计算'!$C$4,0)</x:f>
        <x:v>3339.8826302811644</x:v>
      </x:c>
      <x:c r="E18" s="19" t="n">
        <x:f>E17+L17+IF($A18=DATE(2026,6,1),5000,0)-IF($A18=DATE(2026,6,16),7878.665*'分摊计算'!$C$5,0)-IF($A18=DATE(2026,6,17),7878.665*'分摊计算'!$C$5,0)</x:f>
        <x:v>1181.3084371310188</x:v>
      </x:c>
      <x:c r="F18" s="19" t="n">
        <x:f>F17+M17+IF($A18=DATE(2026,6,1),7000,0)-IF($A18=DATE(2026,6,16),7878.665*'分摊计算'!$C$6,0)-IF($A18=DATE(2026,6,17),7878.665*'分摊计算'!$C$6,0)</x:f>
        <x:v>1653.8318119834262</x:v>
      </x:c>
      <x:c r="G18" s="19" t="n">
        <x:f>G17+O17+IF($A18=DATE(2026,6,1),1500,0)</x:f>
        <x:v>1283.2884284931981</x:v>
      </x:c>
      <x:c r="H18" s="19" t="n">
        <x:f>H17+N17+IF($A18=DATE(2026,6,15),6000,0)-IF($A18=DATE(2026,6,16),6000,0)+IF($A18=DATE(2026,6,16),10000,0)-IF($A18=DATE(2026,6,17),3300,0)-IF($A18=DATE(2026,6,22),5000,0)</x:f>
        <x:v>2755.004053046877</x:v>
      </x:c>
      <x:c r="I18" s="19" t="n">
        <x:f>I17+P17+IF($A18=DATE(2026,6,17),9000,0)+IF($A18=DATE(2026,6,22),1000,0)</x:f>
        <x:v>9943.724639064316</x:v>
      </x:c>
      <x:c r="J18" s="19" t="n">
        <x:f>SUM(D18:I18)</x:f>
        <x:v>20157.04</x:v>
      </x:c>
      <x:c r="K18" s="19" t="n">
        <x:f>IFERROR($B18*D18/$J18,0)</x:f>
        <x:v>237.27253240369754</x:v>
      </x:c>
      <x:c r="L18" s="19" t="n">
        <x:f>IFERROR($B18*E18/$J18,0)</x:f>
        <x:v>83.92272287853865</x:v>
      </x:c>
      <x:c r="M18" s="19" t="n">
        <x:f>IFERROR($B18*F18/$J18,0)</x:f>
        <x:v>117.4918120299541</x:v>
      </x:c>
      <x:c r="N18" s="19" t="n">
        <x:f>IFERROR($B18*H18/$J18,0)</x:f>
        <x:v>195.72148509717337</x:v>
      </x:c>
      <x:c r="O18" s="19" t="n">
        <x:f>IFERROR($B18*G18/$J18,0)</x:f>
        <x:v>91.16760345776262</x:v>
      </x:c>
      <x:c r="P18" s="19" t="n">
        <x:f>IFERROR($B18*I18/$J18,0)</x:f>
        <x:v>706.4238441328737</x:v>
      </x:c>
    </x:row>
    <x:row r="19">
      <x:c r="A19" s="24" t="n">
        <x:v>46196</x:v>
      </x:c>
      <x:c r="B19" s="25" t="n">
        <x:v>-301</x:v>
      </x:c>
      <x:c r="C19" s="25"/>
      <x:c r="D19" s="19" t="n">
        <x:f>D18+K18+IF($A19=DATE(2026,6,1),14136.37,0)-IF($A19=DATE(2026,6,16),7878.665*'分摊计算'!$C$4,0)-IF($A19=DATE(2026,6,17),7878.665*'分摊计算'!$C$4,0)</x:f>
        <x:v>3577.155162684862</x:v>
      </x:c>
      <x:c r="E19" s="19" t="n">
        <x:f>E18+L18+IF($A19=DATE(2026,6,1),5000,0)-IF($A19=DATE(2026,6,16),7878.665*'分摊计算'!$C$5,0)-IF($A19=DATE(2026,6,17),7878.665*'分摊计算'!$C$5,0)</x:f>
        <x:v>1265.2311600095575</x:v>
      </x:c>
      <x:c r="F19" s="19" t="n">
        <x:f>F18+M18+IF($A19=DATE(2026,6,1),7000,0)-IF($A19=DATE(2026,6,16),7878.665*'分摊计算'!$C$6,0)-IF($A19=DATE(2026,6,17),7878.665*'分摊计算'!$C$6,0)</x:f>
        <x:v>1771.3236240133804</x:v>
      </x:c>
      <x:c r="G19" s="19" t="n">
        <x:f>G18+O18+IF($A19=DATE(2026,6,1),1500,0)</x:f>
        <x:v>1374.4560319509608</x:v>
      </x:c>
      <x:c r="H19" s="19" t="n">
        <x:f>H18+N18+IF($A19=DATE(2026,6,15),6000,0)-IF($A19=DATE(2026,6,16),6000,0)+IF($A19=DATE(2026,6,16),10000,0)-IF($A19=DATE(2026,6,17),3300,0)-IF($A19=DATE(2026,6,22),5000,0)</x:f>
        <x:v>2950.72553814405</x:v>
      </x:c>
      <x:c r="I19" s="19" t="n">
        <x:f>I18+P18+IF($A19=DATE(2026,6,17),9000,0)+IF($A19=DATE(2026,6,22),1000,0)</x:f>
        <x:v>10650.14848319719</x:v>
      </x:c>
      <x:c r="J19" s="19" t="n">
        <x:f>SUM(D19:I19)</x:f>
        <x:v>21589.04</x:v>
      </x:c>
      <x:c r="K19" s="19" t="n">
        <x:f>IFERROR($B19*D19/$J19,0)</x:f>
        <x:v>-49.8736258753582</x:v>
      </x:c>
      <x:c r="L19" s="19" t="n">
        <x:f>IFERROR($B19*E19/$J19,0)</x:f>
        <x:v>-17.640181275447024</x:v>
      </x:c>
      <x:c r="M19" s="19" t="n">
        <x:f>IFERROR($B19*F19/$J19,0)</x:f>
        <x:v>-24.69625378562583</x:v>
      </x:c>
      <x:c r="N19" s="19" t="n">
        <x:f>IFERROR($B19*H19/$J19,0)</x:f>
        <x:v>-41.13978143453155</x:v>
      </x:c>
      <x:c r="O19" s="19" t="n">
        <x:f>IFERROR($B19*G19/$J19,0)</x:f>
        <x:v>-19.163022793845357</x:v>
      </x:c>
      <x:c r="P19" s="19" t="n">
        <x:f>IFERROR($B19*I19/$J19,0)</x:f>
        <x:v>-148.48713483519205</x:v>
      </x:c>
    </x:row>
    <x:row r="20">
      <x:c r="A20" s="24" t="n">
        <x:v>46197</x:v>
      </x:c>
      <x:c r="B20" s="25" t="n">
        <x:v>1188</x:v>
      </x:c>
      <x:c r="C20" s="25"/>
      <x:c r="D20" s="19" t="n">
        <x:f>D19+K19+IF($A20=DATE(2026,6,1),14136.37,0)-IF($A20=DATE(2026,6,16),7878.665*'分摊计算'!$C$4,0)-IF($A20=DATE(2026,6,17),7878.665*'分摊计算'!$C$4,0)</x:f>
        <x:v>3527.2815368095035</x:v>
      </x:c>
      <x:c r="E20" s="19" t="n">
        <x:f>E19+L19+IF($A20=DATE(2026,6,1),5000,0)-IF($A20=DATE(2026,6,16),7878.665*'分摊计算'!$C$5,0)-IF($A20=DATE(2026,6,17),7878.665*'分摊计算'!$C$5,0)</x:f>
        <x:v>1247.5909787341104</x:v>
      </x:c>
      <x:c r="F20" s="19" t="n">
        <x:f>F19+M19+IF($A20=DATE(2026,6,1),7000,0)-IF($A20=DATE(2026,6,16),7878.665*'分摊计算'!$C$6,0)-IF($A20=DATE(2026,6,17),7878.665*'分摊计算'!$C$6,0)</x:f>
        <x:v>1746.6273702277545</x:v>
      </x:c>
      <x:c r="G20" s="19" t="n">
        <x:f>G19+O19+IF($A20=DATE(2026,6,1),1500,0)</x:f>
        <x:v>1355.2930091571154</x:v>
      </x:c>
      <x:c r="H20" s="19" t="n">
        <x:f>H19+N19+IF($A20=DATE(2026,6,15),6000,0)-IF($A20=DATE(2026,6,16),6000,0)+IF($A20=DATE(2026,6,16),10000,0)-IF($A20=DATE(2026,6,17),3300,0)-IF($A20=DATE(2026,6,22),5000,0)</x:f>
        <x:v>2909.5857567095186</x:v>
      </x:c>
      <x:c r="I20" s="19" t="n">
        <x:f>I19+P19+IF($A20=DATE(2026,6,17),9000,0)+IF($A20=DATE(2026,6,22),1000,0)</x:f>
        <x:v>10501.661348361999</x:v>
      </x:c>
      <x:c r="J20" s="19" t="n">
        <x:f>SUM(D20:I20)</x:f>
        <x:v>21288.04</x:v>
      </x:c>
      <x:c r="K20" s="19" t="n">
        <x:f>IFERROR($B20*D20/$J20,0)</x:f>
        <x:v>196.84341375390548</x:v>
      </x:c>
      <x:c r="L20" s="19" t="n">
        <x:f>IFERROR($B20*E20/$J20,0)</x:f>
        <x:v>69.62304104727927</x:v>
      </x:c>
      <x:c r="M20" s="19" t="n">
        <x:f>IFERROR($B20*F20/$J20,0)</x:f>
        <x:v>97.47225746619098</x:v>
      </x:c>
      <x:c r="N20" s="19" t="n">
        <x:f>IFERROR($B20*H20/$J20,0)</x:f>
        <x:v>162.3722935024036</x:v>
      </x:c>
      <x:c r="O20" s="19" t="n">
        <x:f>IFERROR($B20*G20/$J20,0)</x:f>
        <x:v>75.63345873451257</x:v>
      </x:c>
      <x:c r="P20" s="19" t="n">
        <x:f>IFERROR($B20*I20/$J20,0)</x:f>
        <x:v>586.0555354957081</x:v>
      </x:c>
    </x:row>
    <x:row r="21">
      <x:c r="A21" s="24"/>
      <x:c r="B21" s="25"/>
      <x:c r="C21" s="25"/>
      <x:c r="D21" s="19" t="n">
        <x:f>D20+K20+IF($A21=DATE(2026,6,1),14136.37,0)-IF($A21=DATE(2026,6,16),7878.665*'分摊计算'!$C$4,0)-IF($A21=DATE(2026,6,17),7878.665*'分摊计算'!$C$4,0)</x:f>
        <x:v>3724.124950563409</x:v>
      </x:c>
      <x:c r="E21" s="19" t="n">
        <x:f>E20+L20+IF($A21=DATE(2026,6,1),5000,0)-IF($A21=DATE(2026,6,16),7878.665*'分摊计算'!$C$5,0)-IF($A21=DATE(2026,6,17),7878.665*'分摊计算'!$C$5,0)</x:f>
        <x:v>1317.2140197813897</x:v>
      </x:c>
      <x:c r="F21" s="19" t="n">
        <x:f>F20+M20+IF($A21=DATE(2026,6,1),7000,0)-IF($A21=DATE(2026,6,16),7878.665*'分摊计算'!$C$6,0)-IF($A21=DATE(2026,6,17),7878.665*'分摊计算'!$C$6,0)</x:f>
        <x:v>1844.0996276939454</x:v>
      </x:c>
      <x:c r="G21" s="19" t="n">
        <x:f>G20+O20+IF($A21=DATE(2026,6,1),1500,0)</x:f>
        <x:v>1430.926467891628</x:v>
      </x:c>
      <x:c r="H21" s="19" t="n">
        <x:f>H20+N20+IF($A21=DATE(2026,6,15),6000,0)-IF($A21=DATE(2026,6,16),6000,0)+IF($A21=DATE(2026,6,16),10000,0)-IF($A21=DATE(2026,6,17),3300,0)-IF($A21=DATE(2026,6,22),5000,0)</x:f>
        <x:v>3071.958050211922</x:v>
      </x:c>
      <x:c r="I21" s="19" t="n">
        <x:f>I20+P20+IF($A21=DATE(2026,6,17),9000,0)+IF($A21=DATE(2026,6,22),1000,0)</x:f>
        <x:v>11087.716883857707</x:v>
      </x:c>
      <x:c r="J21" s="19" t="n">
        <x:f>SUM(D21:I21)</x:f>
        <x:v>22476.04</x:v>
      </x:c>
      <x:c r="K21" s="19" t="n">
        <x:f>IFERROR($B21*D21/$J21,0)</x:f>
        <x:v>0</x:v>
      </x:c>
      <x:c r="L21" s="19" t="n">
        <x:f>IFERROR($B21*E21/$J21,0)</x:f>
        <x:v>0</x:v>
      </x:c>
      <x:c r="M21" s="19" t="n">
        <x:f>IFERROR($B21*F21/$J21,0)</x:f>
        <x:v>0</x:v>
      </x:c>
      <x:c r="N21" s="19" t="n">
        <x:f>IFERROR($B21*H21/$J21,0)</x:f>
        <x:v>0</x:v>
      </x:c>
      <x:c r="O21" s="19" t="n">
        <x:f>IFERROR($B21*G21/$J21,0)</x:f>
        <x:v>0</x:v>
      </x:c>
      <x:c r="P21" s="19" t="n">
        <x:f>IFERROR($B21*I21/$J21,0)</x:f>
        <x:v>0</x:v>
      </x:c>
    </x:row>
    <x:row r="22">
      <x:c r="A22" s="24"/>
      <x:c r="B22" s="25"/>
      <x:c r="C22" s="25"/>
      <x:c r="D22" s="19" t="n">
        <x:f>D21+K21+IF($A22=DATE(2026,6,1),14136.37,0)-IF($A22=DATE(2026,6,16),7878.665*'分摊计算'!$C$4,0)-IF($A22=DATE(2026,6,17),7878.665*'分摊计算'!$C$4,0)</x:f>
        <x:v>3724.124950563409</x:v>
      </x:c>
      <x:c r="E22" s="19" t="n">
        <x:f>E21+L21+IF($A22=DATE(2026,6,1),5000,0)-IF($A22=DATE(2026,6,16),7878.665*'分摊计算'!$C$5,0)-IF($A22=DATE(2026,6,17),7878.665*'分摊计算'!$C$5,0)</x:f>
        <x:v>1317.2140197813897</x:v>
      </x:c>
      <x:c r="F22" s="19" t="n">
        <x:f>F21+M21+IF($A22=DATE(2026,6,1),7000,0)-IF($A22=DATE(2026,6,16),7878.665*'分摊计算'!$C$6,0)-IF($A22=DATE(2026,6,17),7878.665*'分摊计算'!$C$6,0)</x:f>
        <x:v>1844.0996276939454</x:v>
      </x:c>
      <x:c r="G22" s="19" t="n">
        <x:f>G21+O21+IF($A22=DATE(2026,6,1),1500,0)</x:f>
        <x:v>1430.926467891628</x:v>
      </x:c>
      <x:c r="H22" s="19" t="n">
        <x:f>H21+N21+IF($A22=DATE(2026,6,15),6000,0)-IF($A22=DATE(2026,6,16),6000,0)+IF($A22=DATE(2026,6,16),10000,0)-IF($A22=DATE(2026,6,17),3300,0)-IF($A22=DATE(2026,6,22),5000,0)</x:f>
        <x:v>3071.958050211922</x:v>
      </x:c>
      <x:c r="I22" s="19" t="n">
        <x:f>I21+P21+IF($A22=DATE(2026,6,17),9000,0)+IF($A22=DATE(2026,6,22),1000,0)</x:f>
        <x:v>11087.716883857707</x:v>
      </x:c>
      <x:c r="J22" s="19" t="n">
        <x:f>SUM(D22:I22)</x:f>
        <x:v>22476.04</x:v>
      </x:c>
      <x:c r="K22" s="19" t="n">
        <x:f>IFERROR($B22*D22/$J22,0)</x:f>
        <x:v>0</x:v>
      </x:c>
      <x:c r="L22" s="19" t="n">
        <x:f>IFERROR($B22*E22/$J22,0)</x:f>
        <x:v>0</x:v>
      </x:c>
      <x:c r="M22" s="19" t="n">
        <x:f>IFERROR($B22*F22/$J22,0)</x:f>
        <x:v>0</x:v>
      </x:c>
      <x:c r="N22" s="19" t="n">
        <x:f>IFERROR($B22*H22/$J22,0)</x:f>
        <x:v>0</x:v>
      </x:c>
      <x:c r="O22" s="19" t="n">
        <x:f>IFERROR($B22*G22/$J22,0)</x:f>
        <x:v>0</x:v>
      </x:c>
      <x:c r="P22" s="19" t="n">
        <x:f>IFERROR($B22*I22/$J22,0)</x:f>
        <x:v>0</x:v>
      </x:c>
    </x:row>
    <x:row r="23">
      <x:c r="A23" s="24"/>
      <x:c r="B23" s="25"/>
      <x:c r="C23" s="25"/>
      <x:c r="D23" s="19" t="n">
        <x:f>D22+K22+IF($A23=DATE(2026,6,1),14136.37,0)-IF($A23=DATE(2026,6,16),7878.665*'分摊计算'!$C$4,0)-IF($A23=DATE(2026,6,17),7878.665*'分摊计算'!$C$4,0)</x:f>
        <x:v>3724.124950563409</x:v>
      </x:c>
      <x:c r="E23" s="19" t="n">
        <x:f>E22+L22+IF($A23=DATE(2026,6,1),5000,0)-IF($A23=DATE(2026,6,16),7878.665*'分摊计算'!$C$5,0)-IF($A23=DATE(2026,6,17),7878.665*'分摊计算'!$C$5,0)</x:f>
        <x:v>1317.2140197813897</x:v>
      </x:c>
      <x:c r="F23" s="19" t="n">
        <x:f>F22+M22+IF($A23=DATE(2026,6,1),7000,0)-IF($A23=DATE(2026,6,16),7878.665*'分摊计算'!$C$6,0)-IF($A23=DATE(2026,6,17),7878.665*'分摊计算'!$C$6,0)</x:f>
        <x:v>1844.0996276939454</x:v>
      </x:c>
      <x:c r="G23" s="19" t="n">
        <x:f>G22+O22+IF($A23=DATE(2026,6,1),1500,0)</x:f>
        <x:v>1430.926467891628</x:v>
      </x:c>
      <x:c r="H23" s="19" t="n">
        <x:f>H22+N22+IF($A23=DATE(2026,6,15),6000,0)-IF($A23=DATE(2026,6,16),6000,0)+IF($A23=DATE(2026,6,16),10000,0)-IF($A23=DATE(2026,6,17),3300,0)-IF($A23=DATE(2026,6,22),5000,0)</x:f>
        <x:v>3071.958050211922</x:v>
      </x:c>
      <x:c r="I23" s="19" t="n">
        <x:f>I22+P22+IF($A23=DATE(2026,6,17),9000,0)+IF($A23=DATE(2026,6,22),1000,0)</x:f>
        <x:v>11087.716883857707</x:v>
      </x:c>
      <x:c r="J23" s="19" t="n">
        <x:f>SUM(D23:I23)</x:f>
        <x:v>22476.04</x:v>
      </x:c>
      <x:c r="K23" s="19" t="n">
        <x:f>IFERROR($B23*D23/$J23,0)</x:f>
        <x:v>0</x:v>
      </x:c>
      <x:c r="L23" s="19" t="n">
        <x:f>IFERROR($B23*E23/$J23,0)</x:f>
        <x:v>0</x:v>
      </x:c>
      <x:c r="M23" s="19" t="n">
        <x:f>IFERROR($B23*F23/$J23,0)</x:f>
        <x:v>0</x:v>
      </x:c>
      <x:c r="N23" s="19" t="n">
        <x:f>IFERROR($B23*H23/$J23,0)</x:f>
        <x:v>0</x:v>
      </x:c>
      <x:c r="O23" s="19" t="n">
        <x:f>IFERROR($B23*G23/$J23,0)</x:f>
        <x:v>0</x:v>
      </x:c>
      <x:c r="P23" s="19" t="n">
        <x:f>IFERROR($B23*I23/$J23,0)</x:f>
        <x:v>0</x:v>
      </x:c>
    </x:row>
    <x:row r="24">
      <x:c r="A24" s="24"/>
      <x:c r="B24" s="25"/>
      <x:c r="C24" s="25"/>
      <x:c r="D24" s="19" t="n">
        <x:f>D23+K23+IF($A24=DATE(2026,6,1),14136.37,0)-IF($A24=DATE(2026,6,16),7878.665*'分摊计算'!$C$4,0)-IF($A24=DATE(2026,6,17),7878.665*'分摊计算'!$C$4,0)</x:f>
        <x:v>3724.124950563409</x:v>
      </x:c>
      <x:c r="E24" s="19" t="n">
        <x:f>E23+L23+IF($A24=DATE(2026,6,1),5000,0)-IF($A24=DATE(2026,6,16),7878.665*'分摊计算'!$C$5,0)-IF($A24=DATE(2026,6,17),7878.665*'分摊计算'!$C$5,0)</x:f>
        <x:v>1317.2140197813897</x:v>
      </x:c>
      <x:c r="F24" s="19" t="n">
        <x:f>F23+M23+IF($A24=DATE(2026,6,1),7000,0)-IF($A24=DATE(2026,6,16),7878.665*'分摊计算'!$C$6,0)-IF($A24=DATE(2026,6,17),7878.665*'分摊计算'!$C$6,0)</x:f>
        <x:v>1844.0996276939454</x:v>
      </x:c>
      <x:c r="G24" s="19" t="n">
        <x:f>G23+O23+IF($A24=DATE(2026,6,1),1500,0)</x:f>
        <x:v>1430.926467891628</x:v>
      </x:c>
      <x:c r="H24" s="19" t="n">
        <x:f>H23+N23+IF($A24=DATE(2026,6,15),6000,0)-IF($A24=DATE(2026,6,16),6000,0)+IF($A24=DATE(2026,6,16),10000,0)-IF($A24=DATE(2026,6,17),3300,0)-IF($A24=DATE(2026,6,22),5000,0)</x:f>
        <x:v>3071.958050211922</x:v>
      </x:c>
      <x:c r="I24" s="19" t="n">
        <x:f>I23+P23+IF($A24=DATE(2026,6,17),9000,0)+IF($A24=DATE(2026,6,22),1000,0)</x:f>
        <x:v>11087.716883857707</x:v>
      </x:c>
      <x:c r="J24" s="19" t="n">
        <x:f>SUM(D24:I24)</x:f>
        <x:v>22476.04</x:v>
      </x:c>
      <x:c r="K24" s="19" t="n">
        <x:f>IFERROR($B24*D24/$J24,0)</x:f>
        <x:v>0</x:v>
      </x:c>
      <x:c r="L24" s="19" t="n">
        <x:f>IFERROR($B24*E24/$J24,0)</x:f>
        <x:v>0</x:v>
      </x:c>
      <x:c r="M24" s="19" t="n">
        <x:f>IFERROR($B24*F24/$J24,0)</x:f>
        <x:v>0</x:v>
      </x:c>
      <x:c r="N24" s="19" t="n">
        <x:f>IFERROR($B24*H24/$J24,0)</x:f>
        <x:v>0</x:v>
      </x:c>
      <x:c r="O24" s="19" t="n">
        <x:f>IFERROR($B24*G24/$J24,0)</x:f>
        <x:v>0</x:v>
      </x:c>
      <x:c r="P24" s="19" t="n">
        <x:f>IFERROR($B24*I24/$J24,0)</x:f>
        <x:v>0</x:v>
      </x:c>
    </x:row>
    <x:row r="25">
      <x:c r="A25" s="24"/>
      <x:c r="B25" s="25"/>
      <x:c r="C25" s="25"/>
      <x:c r="D25" s="19" t="n">
        <x:f>D24+K24+IF($A25=DATE(2026,6,1),14136.37,0)-IF($A25=DATE(2026,6,16),7878.665*'分摊计算'!$C$4,0)-IF($A25=DATE(2026,6,17),7878.665*'分摊计算'!$C$4,0)</x:f>
        <x:v>3724.124950563409</x:v>
      </x:c>
      <x:c r="E25" s="19" t="n">
        <x:f>E24+L24+IF($A25=DATE(2026,6,1),5000,0)-IF($A25=DATE(2026,6,16),7878.665*'分摊计算'!$C$5,0)-IF($A25=DATE(2026,6,17),7878.665*'分摊计算'!$C$5,0)</x:f>
        <x:v>1317.2140197813897</x:v>
      </x:c>
      <x:c r="F25" s="19" t="n">
        <x:f>F24+M24+IF($A25=DATE(2026,6,1),7000,0)-IF($A25=DATE(2026,6,16),7878.665*'分摊计算'!$C$6,0)-IF($A25=DATE(2026,6,17),7878.665*'分摊计算'!$C$6,0)</x:f>
        <x:v>1844.0996276939454</x:v>
      </x:c>
      <x:c r="G25" s="19" t="n">
        <x:f>G24+O24+IF($A25=DATE(2026,6,1),1500,0)</x:f>
        <x:v>1430.926467891628</x:v>
      </x:c>
      <x:c r="H25" s="19" t="n">
        <x:f>H24+N24+IF($A25=DATE(2026,6,15),6000,0)-IF($A25=DATE(2026,6,16),6000,0)+IF($A25=DATE(2026,6,16),10000,0)-IF($A25=DATE(2026,6,17),3300,0)-IF($A25=DATE(2026,6,22),5000,0)</x:f>
        <x:v>3071.958050211922</x:v>
      </x:c>
      <x:c r="I25" s="19" t="n">
        <x:f>I24+P24+IF($A25=DATE(2026,6,17),9000,0)+IF($A25=DATE(2026,6,22),1000,0)</x:f>
        <x:v>11087.716883857707</x:v>
      </x:c>
      <x:c r="J25" s="19" t="n">
        <x:f>SUM(D25:I25)</x:f>
        <x:v>22476.04</x:v>
      </x:c>
      <x:c r="K25" s="19" t="n">
        <x:f>IFERROR($B25*D25/$J25,0)</x:f>
        <x:v>0</x:v>
      </x:c>
      <x:c r="L25" s="19" t="n">
        <x:f>IFERROR($B25*E25/$J25,0)</x:f>
        <x:v>0</x:v>
      </x:c>
      <x:c r="M25" s="19" t="n">
        <x:f>IFERROR($B25*F25/$J25,0)</x:f>
        <x:v>0</x:v>
      </x:c>
      <x:c r="N25" s="19" t="n">
        <x:f>IFERROR($B25*H25/$J25,0)</x:f>
        <x:v>0</x:v>
      </x:c>
      <x:c r="O25" s="19" t="n">
        <x:f>IFERROR($B25*G25/$J25,0)</x:f>
        <x:v>0</x:v>
      </x:c>
      <x:c r="P25" s="19" t="n">
        <x:f>IFERROR($B25*I25/$J25,0)</x:f>
        <x:v>0</x:v>
      </x:c>
    </x:row>
    <x:row r="26">
      <x:c r="A26" s="24"/>
      <x:c r="B26" s="25"/>
      <x:c r="C26" s="25"/>
      <x:c r="D26" s="19" t="n">
        <x:f>D25+K25+IF($A26=DATE(2026,6,1),14136.37,0)-IF($A26=DATE(2026,6,16),7878.665*'分摊计算'!$C$4,0)-IF($A26=DATE(2026,6,17),7878.665*'分摊计算'!$C$4,0)</x:f>
        <x:v>3724.124950563409</x:v>
      </x:c>
      <x:c r="E26" s="19" t="n">
        <x:f>E25+L25+IF($A26=DATE(2026,6,1),5000,0)-IF($A26=DATE(2026,6,16),7878.665*'分摊计算'!$C$5,0)-IF($A26=DATE(2026,6,17),7878.665*'分摊计算'!$C$5,0)</x:f>
        <x:v>1317.2140197813897</x:v>
      </x:c>
      <x:c r="F26" s="19" t="n">
        <x:f>F25+M25+IF($A26=DATE(2026,6,1),7000,0)-IF($A26=DATE(2026,6,16),7878.665*'分摊计算'!$C$6,0)-IF($A26=DATE(2026,6,17),7878.665*'分摊计算'!$C$6,0)</x:f>
        <x:v>1844.0996276939454</x:v>
      </x:c>
      <x:c r="G26" s="19" t="n">
        <x:f>G25+O25+IF($A26=DATE(2026,6,1),1500,0)</x:f>
        <x:v>1430.926467891628</x:v>
      </x:c>
      <x:c r="H26" s="19" t="n">
        <x:f>H25+N25+IF($A26=DATE(2026,6,15),6000,0)-IF($A26=DATE(2026,6,16),6000,0)+IF($A26=DATE(2026,6,16),10000,0)-IF($A26=DATE(2026,6,17),3300,0)-IF($A26=DATE(2026,6,22),5000,0)</x:f>
        <x:v>3071.958050211922</x:v>
      </x:c>
      <x:c r="I26" s="19" t="n">
        <x:f>I25+P25+IF($A26=DATE(2026,6,17),9000,0)+IF($A26=DATE(2026,6,22),1000,0)</x:f>
        <x:v>11087.716883857707</x:v>
      </x:c>
      <x:c r="J26" s="19" t="n">
        <x:f>SUM(D26:I26)</x:f>
        <x:v>22476.04</x:v>
      </x:c>
      <x:c r="K26" s="19" t="n">
        <x:f>IFERROR($B26*D26/$J26,0)</x:f>
        <x:v>0</x:v>
      </x:c>
      <x:c r="L26" s="19" t="n">
        <x:f>IFERROR($B26*E26/$J26,0)</x:f>
        <x:v>0</x:v>
      </x:c>
      <x:c r="M26" s="19" t="n">
        <x:f>IFERROR($B26*F26/$J26,0)</x:f>
        <x:v>0</x:v>
      </x:c>
      <x:c r="N26" s="19" t="n">
        <x:f>IFERROR($B26*H26/$J26,0)</x:f>
        <x:v>0</x:v>
      </x:c>
      <x:c r="O26" s="19" t="n">
        <x:f>IFERROR($B26*G26/$J26,0)</x:f>
        <x:v>0</x:v>
      </x:c>
      <x:c r="P26" s="19" t="n">
        <x:f>IFERROR($B26*I26/$J26,0)</x:f>
        <x:v>0</x:v>
      </x:c>
    </x:row>
    <x:row r="27">
      <x:c r="A27" s="24"/>
      <x:c r="B27" s="25"/>
      <x:c r="C27" s="25"/>
      <x:c r="D27" s="19" t="n">
        <x:f>D26+K26+IF($A27=DATE(2026,6,1),14136.37,0)-IF($A27=DATE(2026,6,16),7878.665*'分摊计算'!$C$4,0)-IF($A27=DATE(2026,6,17),7878.665*'分摊计算'!$C$4,0)</x:f>
        <x:v>3724.124950563409</x:v>
      </x:c>
      <x:c r="E27" s="19" t="n">
        <x:f>E26+L26+IF($A27=DATE(2026,6,1),5000,0)-IF($A27=DATE(2026,6,16),7878.665*'分摊计算'!$C$5,0)-IF($A27=DATE(2026,6,17),7878.665*'分摊计算'!$C$5,0)</x:f>
        <x:v>1317.2140197813897</x:v>
      </x:c>
      <x:c r="F27" s="19" t="n">
        <x:f>F26+M26+IF($A27=DATE(2026,6,1),7000,0)-IF($A27=DATE(2026,6,16),7878.665*'分摊计算'!$C$6,0)-IF($A27=DATE(2026,6,17),7878.665*'分摊计算'!$C$6,0)</x:f>
        <x:v>1844.0996276939454</x:v>
      </x:c>
      <x:c r="G27" s="19" t="n">
        <x:f>G26+O26+IF($A27=DATE(2026,6,1),1500,0)</x:f>
        <x:v>1430.926467891628</x:v>
      </x:c>
      <x:c r="H27" s="19" t="n">
        <x:f>H26+N26+IF($A27=DATE(2026,6,15),6000,0)-IF($A27=DATE(2026,6,16),6000,0)+IF($A27=DATE(2026,6,16),10000,0)-IF($A27=DATE(2026,6,17),3300,0)-IF($A27=DATE(2026,6,22),5000,0)</x:f>
        <x:v>3071.958050211922</x:v>
      </x:c>
      <x:c r="I27" s="19" t="n">
        <x:f>I26+P26+IF($A27=DATE(2026,6,17),9000,0)+IF($A27=DATE(2026,6,22),1000,0)</x:f>
        <x:v>11087.716883857707</x:v>
      </x:c>
      <x:c r="J27" s="19" t="n">
        <x:f>SUM(D27:I27)</x:f>
        <x:v>22476.04</x:v>
      </x:c>
      <x:c r="K27" s="19" t="n">
        <x:f>IFERROR($B27*D27/$J27,0)</x:f>
        <x:v>0</x:v>
      </x:c>
      <x:c r="L27" s="19" t="n">
        <x:f>IFERROR($B27*E27/$J27,0)</x:f>
        <x:v>0</x:v>
      </x:c>
      <x:c r="M27" s="19" t="n">
        <x:f>IFERROR($B27*F27/$J27,0)</x:f>
        <x:v>0</x:v>
      </x:c>
      <x:c r="N27" s="19" t="n">
        <x:f>IFERROR($B27*H27/$J27,0)</x:f>
        <x:v>0</x:v>
      </x:c>
      <x:c r="O27" s="19" t="n">
        <x:f>IFERROR($B27*G27/$J27,0)</x:f>
        <x:v>0</x:v>
      </x:c>
      <x:c r="P27" s="19" t="n">
        <x:f>IFERROR($B27*I27/$J27,0)</x:f>
        <x:v>0</x:v>
      </x:c>
    </x:row>
    <x:row r="28">
      <x:c r="A28" s="24"/>
      <x:c r="B28" s="25"/>
      <x:c r="C28" s="25"/>
      <x:c r="D28" s="19" t="n">
        <x:f>D27+K27+IF($A28=DATE(2026,6,1),14136.37,0)-IF($A28=DATE(2026,6,16),7878.665*'分摊计算'!$C$4,0)-IF($A28=DATE(2026,6,17),7878.665*'分摊计算'!$C$4,0)</x:f>
        <x:v>3724.124950563409</x:v>
      </x:c>
      <x:c r="E28" s="19" t="n">
        <x:f>E27+L27+IF($A28=DATE(2026,6,1),5000,0)-IF($A28=DATE(2026,6,16),7878.665*'分摊计算'!$C$5,0)-IF($A28=DATE(2026,6,17),7878.665*'分摊计算'!$C$5,0)</x:f>
        <x:v>1317.2140197813897</x:v>
      </x:c>
      <x:c r="F28" s="19" t="n">
        <x:f>F27+M27+IF($A28=DATE(2026,6,1),7000,0)-IF($A28=DATE(2026,6,16),7878.665*'分摊计算'!$C$6,0)-IF($A28=DATE(2026,6,17),7878.665*'分摊计算'!$C$6,0)</x:f>
        <x:v>1844.0996276939454</x:v>
      </x:c>
      <x:c r="G28" s="19" t="n">
        <x:f>G27+O27+IF($A28=DATE(2026,6,1),1500,0)</x:f>
        <x:v>1430.926467891628</x:v>
      </x:c>
      <x:c r="H28" s="19" t="n">
        <x:f>H27+N27+IF($A28=DATE(2026,6,15),6000,0)-IF($A28=DATE(2026,6,16),6000,0)+IF($A28=DATE(2026,6,16),10000,0)-IF($A28=DATE(2026,6,17),3300,0)-IF($A28=DATE(2026,6,22),5000,0)</x:f>
        <x:v>3071.958050211922</x:v>
      </x:c>
      <x:c r="I28" s="19" t="n">
        <x:f>I27+P27+IF($A28=DATE(2026,6,17),9000,0)+IF($A28=DATE(2026,6,22),1000,0)</x:f>
        <x:v>11087.716883857707</x:v>
      </x:c>
      <x:c r="J28" s="19" t="n">
        <x:f>SUM(D28:I28)</x:f>
        <x:v>22476.04</x:v>
      </x:c>
      <x:c r="K28" s="19" t="n">
        <x:f>IFERROR($B28*D28/$J28,0)</x:f>
        <x:v>0</x:v>
      </x:c>
      <x:c r="L28" s="19" t="n">
        <x:f>IFERROR($B28*E28/$J28,0)</x:f>
        <x:v>0</x:v>
      </x:c>
      <x:c r="M28" s="19" t="n">
        <x:f>IFERROR($B28*F28/$J28,0)</x:f>
        <x:v>0</x:v>
      </x:c>
      <x:c r="N28" s="19" t="n">
        <x:f>IFERROR($B28*H28/$J28,0)</x:f>
        <x:v>0</x:v>
      </x:c>
      <x:c r="O28" s="19" t="n">
        <x:f>IFERROR($B28*G28/$J28,0)</x:f>
        <x:v>0</x:v>
      </x:c>
      <x:c r="P28" s="19" t="n">
        <x:f>IFERROR($B28*I28/$J28,0)</x:f>
        <x:v>0</x:v>
      </x:c>
    </x:row>
    <x:row r="29">
      <x:c r="A29" s="24"/>
      <x:c r="B29" s="25"/>
      <x:c r="C29" s="25"/>
      <x:c r="D29" s="19" t="n">
        <x:f>D28+K28+IF($A29=DATE(2026,6,1),14136.37,0)-IF($A29=DATE(2026,6,16),7878.665*'分摊计算'!$C$4,0)-IF($A29=DATE(2026,6,17),7878.665*'分摊计算'!$C$4,0)</x:f>
        <x:v>3724.124950563409</x:v>
      </x:c>
      <x:c r="E29" s="19" t="n">
        <x:f>E28+L28+IF($A29=DATE(2026,6,1),5000,0)-IF($A29=DATE(2026,6,16),7878.665*'分摊计算'!$C$5,0)-IF($A29=DATE(2026,6,17),7878.665*'分摊计算'!$C$5,0)</x:f>
        <x:v>1317.2140197813897</x:v>
      </x:c>
      <x:c r="F29" s="19" t="n">
        <x:f>F28+M28+IF($A29=DATE(2026,6,1),7000,0)-IF($A29=DATE(2026,6,16),7878.665*'分摊计算'!$C$6,0)-IF($A29=DATE(2026,6,17),7878.665*'分摊计算'!$C$6,0)</x:f>
        <x:v>1844.0996276939454</x:v>
      </x:c>
      <x:c r="G29" s="19" t="n">
        <x:f>G28+O28+IF($A29=DATE(2026,6,1),1500,0)</x:f>
        <x:v>1430.926467891628</x:v>
      </x:c>
      <x:c r="H29" s="19" t="n">
        <x:f>H28+N28+IF($A29=DATE(2026,6,15),6000,0)-IF($A29=DATE(2026,6,16),6000,0)+IF($A29=DATE(2026,6,16),10000,0)-IF($A29=DATE(2026,6,17),3300,0)-IF($A29=DATE(2026,6,22),5000,0)</x:f>
        <x:v>3071.958050211922</x:v>
      </x:c>
      <x:c r="I29" s="19" t="n">
        <x:f>I28+P28+IF($A29=DATE(2026,6,17),9000,0)+IF($A29=DATE(2026,6,22),1000,0)</x:f>
        <x:v>11087.716883857707</x:v>
      </x:c>
      <x:c r="J29" s="19" t="n">
        <x:f>SUM(D29:I29)</x:f>
        <x:v>22476.04</x:v>
      </x:c>
      <x:c r="K29" s="19" t="n">
        <x:f>IFERROR($B29*D29/$J29,0)</x:f>
        <x:v>0</x:v>
      </x:c>
      <x:c r="L29" s="19" t="n">
        <x:f>IFERROR($B29*E29/$J29,0)</x:f>
        <x:v>0</x:v>
      </x:c>
      <x:c r="M29" s="19" t="n">
        <x:f>IFERROR($B29*F29/$J29,0)</x:f>
        <x:v>0</x:v>
      </x:c>
      <x:c r="N29" s="19" t="n">
        <x:f>IFERROR($B29*H29/$J29,0)</x:f>
        <x:v>0</x:v>
      </x:c>
      <x:c r="O29" s="19" t="n">
        <x:f>IFERROR($B29*G29/$J29,0)</x:f>
        <x:v>0</x:v>
      </x:c>
      <x:c r="P29" s="19" t="n">
        <x:f>IFERROR($B29*I29/$J29,0)</x:f>
        <x:v>0</x:v>
      </x:c>
    </x:row>
    <x:row r="30">
      <x:c r="A30" s="24"/>
      <x:c r="B30" s="25"/>
      <x:c r="C30" s="25"/>
      <x:c r="D30" s="19" t="n">
        <x:f>D29+K29+IF($A30=DATE(2026,6,1),14136.37,0)-IF($A30=DATE(2026,6,16),7878.665*'分摊计算'!$C$4,0)-IF($A30=DATE(2026,6,17),7878.665*'分摊计算'!$C$4,0)</x:f>
        <x:v>3724.124950563409</x:v>
      </x:c>
      <x:c r="E30" s="19" t="n">
        <x:f>E29+L29+IF($A30=DATE(2026,6,1),5000,0)-IF($A30=DATE(2026,6,16),7878.665*'分摊计算'!$C$5,0)-IF($A30=DATE(2026,6,17),7878.665*'分摊计算'!$C$5,0)</x:f>
        <x:v>1317.2140197813897</x:v>
      </x:c>
      <x:c r="F30" s="19" t="n">
        <x:f>F29+M29+IF($A30=DATE(2026,6,1),7000,0)-IF($A30=DATE(2026,6,16),7878.665*'分摊计算'!$C$6,0)-IF($A30=DATE(2026,6,17),7878.665*'分摊计算'!$C$6,0)</x:f>
        <x:v>1844.0996276939454</x:v>
      </x:c>
      <x:c r="G30" s="19" t="n">
        <x:f>G29+O29+IF($A30=DATE(2026,6,1),1500,0)</x:f>
        <x:v>1430.926467891628</x:v>
      </x:c>
      <x:c r="H30" s="19" t="n">
        <x:f>H29+N29+IF($A30=DATE(2026,6,15),6000,0)-IF($A30=DATE(2026,6,16),6000,0)+IF($A30=DATE(2026,6,16),10000,0)-IF($A30=DATE(2026,6,17),3300,0)-IF($A30=DATE(2026,6,22),5000,0)</x:f>
        <x:v>3071.958050211922</x:v>
      </x:c>
      <x:c r="I30" s="19" t="n">
        <x:f>I29+P29+IF($A30=DATE(2026,6,17),9000,0)+IF($A30=DATE(2026,6,22),1000,0)</x:f>
        <x:v>11087.716883857707</x:v>
      </x:c>
      <x:c r="J30" s="19" t="n">
        <x:f>SUM(D30:I30)</x:f>
        <x:v>22476.04</x:v>
      </x:c>
      <x:c r="K30" s="19" t="n">
        <x:f>IFERROR($B30*D30/$J30,0)</x:f>
        <x:v>0</x:v>
      </x:c>
      <x:c r="L30" s="19" t="n">
        <x:f>IFERROR($B30*E30/$J30,0)</x:f>
        <x:v>0</x:v>
      </x:c>
      <x:c r="M30" s="19" t="n">
        <x:f>IFERROR($B30*F30/$J30,0)</x:f>
        <x:v>0</x:v>
      </x:c>
      <x:c r="N30" s="19" t="n">
        <x:f>IFERROR($B30*H30/$J30,0)</x:f>
        <x:v>0</x:v>
      </x:c>
      <x:c r="O30" s="19" t="n">
        <x:f>IFERROR($B30*G30/$J30,0)</x:f>
        <x:v>0</x:v>
      </x:c>
      <x:c r="P30" s="19" t="n">
        <x:f>IFERROR($B30*I30/$J30,0)</x:f>
        <x:v>0</x:v>
      </x:c>
    </x:row>
    <x:row r="31">
      <x:c r="A31" s="24"/>
      <x:c r="B31" s="25"/>
      <x:c r="C31" s="25"/>
      <x:c r="D31" s="19" t="n">
        <x:f>D30+K30+IF($A31=DATE(2026,6,1),14136.37,0)-IF($A31=DATE(2026,6,16),7878.665*'分摊计算'!$C$4,0)-IF($A31=DATE(2026,6,17),7878.665*'分摊计算'!$C$4,0)</x:f>
        <x:v>3724.124950563409</x:v>
      </x:c>
      <x:c r="E31" s="19" t="n">
        <x:f>E30+L30+IF($A31=DATE(2026,6,1),5000,0)-IF($A31=DATE(2026,6,16),7878.665*'分摊计算'!$C$5,0)-IF($A31=DATE(2026,6,17),7878.665*'分摊计算'!$C$5,0)</x:f>
        <x:v>1317.2140197813897</x:v>
      </x:c>
      <x:c r="F31" s="19" t="n">
        <x:f>F30+M30+IF($A31=DATE(2026,6,1),7000,0)-IF($A31=DATE(2026,6,16),7878.665*'分摊计算'!$C$6,0)-IF($A31=DATE(2026,6,17),7878.665*'分摊计算'!$C$6,0)</x:f>
        <x:v>1844.0996276939454</x:v>
      </x:c>
      <x:c r="G31" s="19" t="n">
        <x:f>G30+O30+IF($A31=DATE(2026,6,1),1500,0)</x:f>
        <x:v>1430.926467891628</x:v>
      </x:c>
      <x:c r="H31" s="19" t="n">
        <x:f>H30+N30+IF($A31=DATE(2026,6,15),6000,0)-IF($A31=DATE(2026,6,16),6000,0)+IF($A31=DATE(2026,6,16),10000,0)-IF($A31=DATE(2026,6,17),3300,0)-IF($A31=DATE(2026,6,22),5000,0)</x:f>
        <x:v>3071.958050211922</x:v>
      </x:c>
      <x:c r="I31" s="19" t="n">
        <x:f>I30+P30+IF($A31=DATE(2026,6,17),9000,0)+IF($A31=DATE(2026,6,22),1000,0)</x:f>
        <x:v>11087.716883857707</x:v>
      </x:c>
      <x:c r="J31" s="19" t="n">
        <x:f>SUM(D31:I31)</x:f>
        <x:v>22476.04</x:v>
      </x:c>
      <x:c r="K31" s="19" t="n">
        <x:f>IFERROR($B31*D31/$J31,0)</x:f>
        <x:v>0</x:v>
      </x:c>
      <x:c r="L31" s="19" t="n">
        <x:f>IFERROR($B31*E31/$J31,0)</x:f>
        <x:v>0</x:v>
      </x:c>
      <x:c r="M31" s="19" t="n">
        <x:f>IFERROR($B31*F31/$J31,0)</x:f>
        <x:v>0</x:v>
      </x:c>
      <x:c r="N31" s="19" t="n">
        <x:f>IFERROR($B31*H31/$J31,0)</x:f>
        <x:v>0</x:v>
      </x:c>
      <x:c r="O31" s="19" t="n">
        <x:f>IFERROR($B31*G31/$J31,0)</x:f>
        <x:v>0</x:v>
      </x:c>
      <x:c r="P31" s="19" t="n">
        <x:f>IFERROR($B31*I31/$J31,0)</x:f>
        <x:v>0</x:v>
      </x:c>
    </x:row>
    <x:row r="32">
      <x:c r="A32" s="24"/>
      <x:c r="B32" s="25"/>
      <x:c r="C32" s="25"/>
      <x:c r="D32" s="19" t="n">
        <x:f>D31+K31+IF($A32=DATE(2026,6,1),14136.37,0)-IF($A32=DATE(2026,6,16),7878.665*'分摊计算'!$C$4,0)-IF($A32=DATE(2026,6,17),7878.665*'分摊计算'!$C$4,0)</x:f>
        <x:v>3724.124950563409</x:v>
      </x:c>
      <x:c r="E32" s="19" t="n">
        <x:f>E31+L31+IF($A32=DATE(2026,6,1),5000,0)-IF($A32=DATE(2026,6,16),7878.665*'分摊计算'!$C$5,0)-IF($A32=DATE(2026,6,17),7878.665*'分摊计算'!$C$5,0)</x:f>
        <x:v>1317.2140197813897</x:v>
      </x:c>
      <x:c r="F32" s="19" t="n">
        <x:f>F31+M31+IF($A32=DATE(2026,6,1),7000,0)-IF($A32=DATE(2026,6,16),7878.665*'分摊计算'!$C$6,0)-IF($A32=DATE(2026,6,17),7878.665*'分摊计算'!$C$6,0)</x:f>
        <x:v>1844.0996276939454</x:v>
      </x:c>
      <x:c r="G32" s="19" t="n">
        <x:f>G31+O31+IF($A32=DATE(2026,6,1),1500,0)</x:f>
        <x:v>1430.926467891628</x:v>
      </x:c>
      <x:c r="H32" s="19" t="n">
        <x:f>H31+N31+IF($A32=DATE(2026,6,15),6000,0)-IF($A32=DATE(2026,6,16),6000,0)+IF($A32=DATE(2026,6,16),10000,0)-IF($A32=DATE(2026,6,17),3300,0)-IF($A32=DATE(2026,6,22),5000,0)</x:f>
        <x:v>3071.958050211922</x:v>
      </x:c>
      <x:c r="I32" s="19" t="n">
        <x:f>I31+P31+IF($A32=DATE(2026,6,17),9000,0)+IF($A32=DATE(2026,6,22),1000,0)</x:f>
        <x:v>11087.716883857707</x:v>
      </x:c>
      <x:c r="J32" s="19" t="n">
        <x:f>SUM(D32:I32)</x:f>
        <x:v>22476.04</x:v>
      </x:c>
      <x:c r="K32" s="19" t="n">
        <x:f>IFERROR($B32*D32/$J32,0)</x:f>
        <x:v>0</x:v>
      </x:c>
      <x:c r="L32" s="19" t="n">
        <x:f>IFERROR($B32*E32/$J32,0)</x:f>
        <x:v>0</x:v>
      </x:c>
      <x:c r="M32" s="19" t="n">
        <x:f>IFERROR($B32*F32/$J32,0)</x:f>
        <x:v>0</x:v>
      </x:c>
      <x:c r="N32" s="19" t="n">
        <x:f>IFERROR($B32*H32/$J32,0)</x:f>
        <x:v>0</x:v>
      </x:c>
      <x:c r="O32" s="19" t="n">
        <x:f>IFERROR($B32*G32/$J32,0)</x:f>
        <x:v>0</x:v>
      </x:c>
      <x:c r="P32" s="19" t="n">
        <x:f>IFERROR($B32*I32/$J32,0)</x:f>
        <x:v>0</x:v>
      </x:c>
    </x:row>
    <x:row r="33">
      <x:c r="A33" s="24"/>
      <x:c r="B33" s="25"/>
      <x:c r="C33" s="25"/>
      <x:c r="D33" s="19" t="n">
        <x:f>D32+K32+IF($A33=DATE(2026,6,1),14136.37,0)-IF($A33=DATE(2026,6,16),7878.665*'分摊计算'!$C$4,0)-IF($A33=DATE(2026,6,17),7878.665*'分摊计算'!$C$4,0)</x:f>
        <x:v>3724.124950563409</x:v>
      </x:c>
      <x:c r="E33" s="19" t="n">
        <x:f>E32+L32+IF($A33=DATE(2026,6,1),5000,0)-IF($A33=DATE(2026,6,16),7878.665*'分摊计算'!$C$5,0)-IF($A33=DATE(2026,6,17),7878.665*'分摊计算'!$C$5,0)</x:f>
        <x:v>1317.2140197813897</x:v>
      </x:c>
      <x:c r="F33" s="19" t="n">
        <x:f>F32+M32+IF($A33=DATE(2026,6,1),7000,0)-IF($A33=DATE(2026,6,16),7878.665*'分摊计算'!$C$6,0)-IF($A33=DATE(2026,6,17),7878.665*'分摊计算'!$C$6,0)</x:f>
        <x:v>1844.0996276939454</x:v>
      </x:c>
      <x:c r="G33" s="19" t="n">
        <x:f>G32+O32+IF($A33=DATE(2026,6,1),1500,0)</x:f>
        <x:v>1430.926467891628</x:v>
      </x:c>
      <x:c r="H33" s="19" t="n">
        <x:f>H32+N32+IF($A33=DATE(2026,6,15),6000,0)-IF($A33=DATE(2026,6,16),6000,0)+IF($A33=DATE(2026,6,16),10000,0)-IF($A33=DATE(2026,6,17),3300,0)-IF($A33=DATE(2026,6,22),5000,0)</x:f>
        <x:v>3071.958050211922</x:v>
      </x:c>
      <x:c r="I33" s="19" t="n">
        <x:f>I32+P32+IF($A33=DATE(2026,6,17),9000,0)+IF($A33=DATE(2026,6,22),1000,0)</x:f>
        <x:v>11087.716883857707</x:v>
      </x:c>
      <x:c r="J33" s="19" t="n">
        <x:f>SUM(D33:I33)</x:f>
        <x:v>22476.04</x:v>
      </x:c>
      <x:c r="K33" s="19" t="n">
        <x:f>IFERROR($B33*D33/$J33,0)</x:f>
        <x:v>0</x:v>
      </x:c>
      <x:c r="L33" s="19" t="n">
        <x:f>IFERROR($B33*E33/$J33,0)</x:f>
        <x:v>0</x:v>
      </x:c>
      <x:c r="M33" s="19" t="n">
        <x:f>IFERROR($B33*F33/$J33,0)</x:f>
        <x:v>0</x:v>
      </x:c>
      <x:c r="N33" s="19" t="n">
        <x:f>IFERROR($B33*H33/$J33,0)</x:f>
        <x:v>0</x:v>
      </x:c>
      <x:c r="O33" s="19" t="n">
        <x:f>IFERROR($B33*G33/$J33,0)</x:f>
        <x:v>0</x:v>
      </x:c>
      <x:c r="P33" s="19" t="n">
        <x:f>IFERROR($B33*I33/$J33,0)</x:f>
        <x:v>0</x:v>
      </x:c>
    </x:row>
    <x:row r="34">
      <x:c r="A34" s="24"/>
      <x:c r="B34" s="25"/>
      <x:c r="C34" s="25"/>
      <x:c r="D34" s="19" t="n">
        <x:f>D33+K33+IF($A34=DATE(2026,6,1),14136.37,0)-IF($A34=DATE(2026,6,16),7878.665*'分摊计算'!$C$4,0)-IF($A34=DATE(2026,6,17),7878.665*'分摊计算'!$C$4,0)</x:f>
        <x:v>3724.124950563409</x:v>
      </x:c>
      <x:c r="E34" s="19" t="n">
        <x:f>E33+L33+IF($A34=DATE(2026,6,1),5000,0)-IF($A34=DATE(2026,6,16),7878.665*'分摊计算'!$C$5,0)-IF($A34=DATE(2026,6,17),7878.665*'分摊计算'!$C$5,0)</x:f>
        <x:v>1317.2140197813897</x:v>
      </x:c>
      <x:c r="F34" s="19" t="n">
        <x:f>F33+M33+IF($A34=DATE(2026,6,1),7000,0)-IF($A34=DATE(2026,6,16),7878.665*'分摊计算'!$C$6,0)-IF($A34=DATE(2026,6,17),7878.665*'分摊计算'!$C$6,0)</x:f>
        <x:v>1844.0996276939454</x:v>
      </x:c>
      <x:c r="G34" s="19" t="n">
        <x:f>G33+O33+IF($A34=DATE(2026,6,1),1500,0)</x:f>
        <x:v>1430.926467891628</x:v>
      </x:c>
      <x:c r="H34" s="19" t="n">
        <x:f>H33+N33+IF($A34=DATE(2026,6,15),6000,0)-IF($A34=DATE(2026,6,16),6000,0)+IF($A34=DATE(2026,6,16),10000,0)-IF($A34=DATE(2026,6,17),3300,0)-IF($A34=DATE(2026,6,22),5000,0)</x:f>
        <x:v>3071.958050211922</x:v>
      </x:c>
      <x:c r="I34" s="19" t="n">
        <x:f>I33+P33+IF($A34=DATE(2026,6,17),9000,0)+IF($A34=DATE(2026,6,22),1000,0)</x:f>
        <x:v>11087.716883857707</x:v>
      </x:c>
      <x:c r="J34" s="19" t="n">
        <x:f>SUM(D34:I34)</x:f>
        <x:v>22476.04</x:v>
      </x:c>
      <x:c r="K34" s="19" t="n">
        <x:f>IFERROR($B34*D34/$J34,0)</x:f>
        <x:v>0</x:v>
      </x:c>
      <x:c r="L34" s="19" t="n">
        <x:f>IFERROR($B34*E34/$J34,0)</x:f>
        <x:v>0</x:v>
      </x:c>
      <x:c r="M34" s="19" t="n">
        <x:f>IFERROR($B34*F34/$J34,0)</x:f>
        <x:v>0</x:v>
      </x:c>
      <x:c r="N34" s="19" t="n">
        <x:f>IFERROR($B34*H34/$J34,0)</x:f>
        <x:v>0</x:v>
      </x:c>
      <x:c r="O34" s="19" t="n">
        <x:f>IFERROR($B34*G34/$J34,0)</x:f>
        <x:v>0</x:v>
      </x:c>
      <x:c r="P34" s="19" t="n">
        <x:f>IFERROR($B34*I34/$J34,0)</x:f>
        <x:v>0</x:v>
      </x:c>
    </x:row>
    <x:row r="35">
      <x:c r="A35" s="24"/>
      <x:c r="B35" s="25"/>
      <x:c r="C35" s="25"/>
      <x:c r="D35" s="19" t="n">
        <x:f>D34+K34+IF($A35=DATE(2026,6,1),14136.37,0)-IF($A35=DATE(2026,6,16),7878.665*'分摊计算'!$C$4,0)-IF($A35=DATE(2026,6,17),7878.665*'分摊计算'!$C$4,0)</x:f>
        <x:v>3724.124950563409</x:v>
      </x:c>
      <x:c r="E35" s="19" t="n">
        <x:f>E34+L34+IF($A35=DATE(2026,6,1),5000,0)-IF($A35=DATE(2026,6,16),7878.665*'分摊计算'!$C$5,0)-IF($A35=DATE(2026,6,17),7878.665*'分摊计算'!$C$5,0)</x:f>
        <x:v>1317.2140197813897</x:v>
      </x:c>
      <x:c r="F35" s="19" t="n">
        <x:f>F34+M34+IF($A35=DATE(2026,6,1),7000,0)-IF($A35=DATE(2026,6,16),7878.665*'分摊计算'!$C$6,0)-IF($A35=DATE(2026,6,17),7878.665*'分摊计算'!$C$6,0)</x:f>
        <x:v>1844.0996276939454</x:v>
      </x:c>
      <x:c r="G35" s="19" t="n">
        <x:f>G34+O34+IF($A35=DATE(2026,6,1),1500,0)</x:f>
        <x:v>1430.926467891628</x:v>
      </x:c>
      <x:c r="H35" s="19" t="n">
        <x:f>H34+N34+IF($A35=DATE(2026,6,15),6000,0)-IF($A35=DATE(2026,6,16),6000,0)+IF($A35=DATE(2026,6,16),10000,0)-IF($A35=DATE(2026,6,17),3300,0)-IF($A35=DATE(2026,6,22),5000,0)</x:f>
        <x:v>3071.958050211922</x:v>
      </x:c>
      <x:c r="I35" s="19" t="n">
        <x:f>I34+P34+IF($A35=DATE(2026,6,17),9000,0)+IF($A35=DATE(2026,6,22),1000,0)</x:f>
        <x:v>11087.716883857707</x:v>
      </x:c>
      <x:c r="J35" s="19" t="n">
        <x:f>SUM(D35:I35)</x:f>
        <x:v>22476.04</x:v>
      </x:c>
      <x:c r="K35" s="19" t="n">
        <x:f>IFERROR($B35*D35/$J35,0)</x:f>
        <x:v>0</x:v>
      </x:c>
      <x:c r="L35" s="19" t="n">
        <x:f>IFERROR($B35*E35/$J35,0)</x:f>
        <x:v>0</x:v>
      </x:c>
      <x:c r="M35" s="19" t="n">
        <x:f>IFERROR($B35*F35/$J35,0)</x:f>
        <x:v>0</x:v>
      </x:c>
      <x:c r="N35" s="19" t="n">
        <x:f>IFERROR($B35*H35/$J35,0)</x:f>
        <x:v>0</x:v>
      </x:c>
      <x:c r="O35" s="19" t="n">
        <x:f>IFERROR($B35*G35/$J35,0)</x:f>
        <x:v>0</x:v>
      </x:c>
      <x:c r="P35" s="19" t="n">
        <x:f>IFERROR($B35*I35/$J35,0)</x:f>
        <x:v>0</x:v>
      </x:c>
    </x:row>
    <x:row r="36">
      <x:c r="A36" s="24"/>
      <x:c r="B36" s="25"/>
      <x:c r="C36" s="25"/>
      <x:c r="D36" s="19" t="n">
        <x:f>D35+K35+IF($A36=DATE(2026,6,1),14136.37,0)-IF($A36=DATE(2026,6,16),7878.665*'分摊计算'!$C$4,0)-IF($A36=DATE(2026,6,17),7878.665*'分摊计算'!$C$4,0)</x:f>
        <x:v>3724.124950563409</x:v>
      </x:c>
      <x:c r="E36" s="19" t="n">
        <x:f>E35+L35+IF($A36=DATE(2026,6,1),5000,0)-IF($A36=DATE(2026,6,16),7878.665*'分摊计算'!$C$5,0)-IF($A36=DATE(2026,6,17),7878.665*'分摊计算'!$C$5,0)</x:f>
        <x:v>1317.2140197813897</x:v>
      </x:c>
      <x:c r="F36" s="19" t="n">
        <x:f>F35+M35+IF($A36=DATE(2026,6,1),7000,0)-IF($A36=DATE(2026,6,16),7878.665*'分摊计算'!$C$6,0)-IF($A36=DATE(2026,6,17),7878.665*'分摊计算'!$C$6,0)</x:f>
        <x:v>1844.0996276939454</x:v>
      </x:c>
      <x:c r="G36" s="19" t="n">
        <x:f>G35+O35+IF($A36=DATE(2026,6,1),1500,0)</x:f>
        <x:v>1430.926467891628</x:v>
      </x:c>
      <x:c r="H36" s="19" t="n">
        <x:f>H35+N35+IF($A36=DATE(2026,6,15),6000,0)-IF($A36=DATE(2026,6,16),6000,0)+IF($A36=DATE(2026,6,16),10000,0)-IF($A36=DATE(2026,6,17),3300,0)-IF($A36=DATE(2026,6,22),5000,0)</x:f>
        <x:v>3071.958050211922</x:v>
      </x:c>
      <x:c r="I36" s="19" t="n">
        <x:f>I35+P35+IF($A36=DATE(2026,6,17),9000,0)+IF($A36=DATE(2026,6,22),1000,0)</x:f>
        <x:v>11087.716883857707</x:v>
      </x:c>
      <x:c r="J36" s="19" t="n">
        <x:f>SUM(D36:I36)</x:f>
        <x:v>22476.04</x:v>
      </x:c>
      <x:c r="K36" s="19" t="n">
        <x:f>IFERROR($B36*D36/$J36,0)</x:f>
        <x:v>0</x:v>
      </x:c>
      <x:c r="L36" s="19" t="n">
        <x:f>IFERROR($B36*E36/$J36,0)</x:f>
        <x:v>0</x:v>
      </x:c>
      <x:c r="M36" s="19" t="n">
        <x:f>IFERROR($B36*F36/$J36,0)</x:f>
        <x:v>0</x:v>
      </x:c>
      <x:c r="N36" s="19" t="n">
        <x:f>IFERROR($B36*H36/$J36,0)</x:f>
        <x:v>0</x:v>
      </x:c>
      <x:c r="O36" s="19" t="n">
        <x:f>IFERROR($B36*G36/$J36,0)</x:f>
        <x:v>0</x:v>
      </x:c>
      <x:c r="P36" s="19" t="n">
        <x:f>IFERROR($B36*I36/$J36,0)</x:f>
        <x:v>0</x:v>
      </x:c>
    </x:row>
    <x:row r="37">
      <x:c r="A37" s="24"/>
      <x:c r="B37" s="25"/>
      <x:c r="C37" s="25"/>
      <x:c r="D37" s="19" t="n">
        <x:f>D36+K36+IF($A37=DATE(2026,6,1),14136.37,0)-IF($A37=DATE(2026,6,16),7878.665*'分摊计算'!$C$4,0)-IF($A37=DATE(2026,6,17),7878.665*'分摊计算'!$C$4,0)</x:f>
        <x:v>3724.124950563409</x:v>
      </x:c>
      <x:c r="E37" s="19" t="n">
        <x:f>E36+L36+IF($A37=DATE(2026,6,1),5000,0)-IF($A37=DATE(2026,6,16),7878.665*'分摊计算'!$C$5,0)-IF($A37=DATE(2026,6,17),7878.665*'分摊计算'!$C$5,0)</x:f>
        <x:v>1317.2140197813897</x:v>
      </x:c>
      <x:c r="F37" s="19" t="n">
        <x:f>F36+M36+IF($A37=DATE(2026,6,1),7000,0)-IF($A37=DATE(2026,6,16),7878.665*'分摊计算'!$C$6,0)-IF($A37=DATE(2026,6,17),7878.665*'分摊计算'!$C$6,0)</x:f>
        <x:v>1844.0996276939454</x:v>
      </x:c>
      <x:c r="G37" s="19" t="n">
        <x:f>G36+O36+IF($A37=DATE(2026,6,1),1500,0)</x:f>
        <x:v>1430.926467891628</x:v>
      </x:c>
      <x:c r="H37" s="19" t="n">
        <x:f>H36+N36+IF($A37=DATE(2026,6,15),6000,0)-IF($A37=DATE(2026,6,16),6000,0)+IF($A37=DATE(2026,6,16),10000,0)-IF($A37=DATE(2026,6,17),3300,0)-IF($A37=DATE(2026,6,22),5000,0)</x:f>
        <x:v>3071.958050211922</x:v>
      </x:c>
      <x:c r="I37" s="19" t="n">
        <x:f>I36+P36+IF($A37=DATE(2026,6,17),9000,0)+IF($A37=DATE(2026,6,22),1000,0)</x:f>
        <x:v>11087.716883857707</x:v>
      </x:c>
      <x:c r="J37" s="19" t="n">
        <x:f>SUM(D37:I37)</x:f>
        <x:v>22476.04</x:v>
      </x:c>
      <x:c r="K37" s="19" t="n">
        <x:f>IFERROR($B37*D37/$J37,0)</x:f>
        <x:v>0</x:v>
      </x:c>
      <x:c r="L37" s="19" t="n">
        <x:f>IFERROR($B37*E37/$J37,0)</x:f>
        <x:v>0</x:v>
      </x:c>
      <x:c r="M37" s="19" t="n">
        <x:f>IFERROR($B37*F37/$J37,0)</x:f>
        <x:v>0</x:v>
      </x:c>
      <x:c r="N37" s="19" t="n">
        <x:f>IFERROR($B37*H37/$J37,0)</x:f>
        <x:v>0</x:v>
      </x:c>
      <x:c r="O37" s="19" t="n">
        <x:f>IFERROR($B37*G37/$J37,0)</x:f>
        <x:v>0</x:v>
      </x:c>
      <x:c r="P37" s="19" t="n">
        <x:f>IFERROR($B37*I37/$J37,0)</x:f>
        <x:v>0</x:v>
      </x:c>
    </x:row>
    <x:row r="38">
      <x:c r="A38" s="24"/>
      <x:c r="B38" s="25"/>
      <x:c r="C38" s="25"/>
      <x:c r="D38" s="19" t="n">
        <x:f>D37+K37+IF($A38=DATE(2026,6,1),14136.37,0)-IF($A38=DATE(2026,6,16),7878.665*'分摊计算'!$C$4,0)-IF($A38=DATE(2026,6,17),7878.665*'分摊计算'!$C$4,0)</x:f>
        <x:v>3724.124950563409</x:v>
      </x:c>
      <x:c r="E38" s="19" t="n">
        <x:f>E37+L37+IF($A38=DATE(2026,6,1),5000,0)-IF($A38=DATE(2026,6,16),7878.665*'分摊计算'!$C$5,0)-IF($A38=DATE(2026,6,17),7878.665*'分摊计算'!$C$5,0)</x:f>
        <x:v>1317.2140197813897</x:v>
      </x:c>
      <x:c r="F38" s="19" t="n">
        <x:f>F37+M37+IF($A38=DATE(2026,6,1),7000,0)-IF($A38=DATE(2026,6,16),7878.665*'分摊计算'!$C$6,0)-IF($A38=DATE(2026,6,17),7878.665*'分摊计算'!$C$6,0)</x:f>
        <x:v>1844.0996276939454</x:v>
      </x:c>
      <x:c r="G38" s="19" t="n">
        <x:f>G37+O37+IF($A38=DATE(2026,6,1),1500,0)</x:f>
        <x:v>1430.926467891628</x:v>
      </x:c>
      <x:c r="H38" s="19" t="n">
        <x:f>H37+N37+IF($A38=DATE(2026,6,15),6000,0)-IF($A38=DATE(2026,6,16),6000,0)+IF($A38=DATE(2026,6,16),10000,0)-IF($A38=DATE(2026,6,17),3300,0)-IF($A38=DATE(2026,6,22),5000,0)</x:f>
        <x:v>3071.958050211922</x:v>
      </x:c>
      <x:c r="I38" s="19" t="n">
        <x:f>I37+P37+IF($A38=DATE(2026,6,17),9000,0)+IF($A38=DATE(2026,6,22),1000,0)</x:f>
        <x:v>11087.716883857707</x:v>
      </x:c>
      <x:c r="J38" s="19" t="n">
        <x:f>SUM(D38:I38)</x:f>
        <x:v>22476.04</x:v>
      </x:c>
      <x:c r="K38" s="19" t="n">
        <x:f>IFERROR($B38*D38/$J38,0)</x:f>
        <x:v>0</x:v>
      </x:c>
      <x:c r="L38" s="19" t="n">
        <x:f>IFERROR($B38*E38/$J38,0)</x:f>
        <x:v>0</x:v>
      </x:c>
      <x:c r="M38" s="19" t="n">
        <x:f>IFERROR($B38*F38/$J38,0)</x:f>
        <x:v>0</x:v>
      </x:c>
      <x:c r="N38" s="19" t="n">
        <x:f>IFERROR($B38*H38/$J38,0)</x:f>
        <x:v>0</x:v>
      </x:c>
      <x:c r="O38" s="19" t="n">
        <x:f>IFERROR($B38*G38/$J38,0)</x:f>
        <x:v>0</x:v>
      </x:c>
      <x:c r="P38" s="19" t="n">
        <x:f>IFERROR($B38*I38/$J38,0)</x:f>
        <x:v>0</x:v>
      </x:c>
    </x:row>
    <x:row r="39">
      <x:c r="A39" s="24"/>
      <x:c r="B39" s="25"/>
      <x:c r="C39" s="25"/>
      <x:c r="D39" s="19" t="n">
        <x:f>D38+K38+IF($A39=DATE(2026,6,1),14136.37,0)-IF($A39=DATE(2026,6,16),7878.665*'分摊计算'!$C$4,0)-IF($A39=DATE(2026,6,17),7878.665*'分摊计算'!$C$4,0)</x:f>
        <x:v>3724.124950563409</x:v>
      </x:c>
      <x:c r="E39" s="19" t="n">
        <x:f>E38+L38+IF($A39=DATE(2026,6,1),5000,0)-IF($A39=DATE(2026,6,16),7878.665*'分摊计算'!$C$5,0)-IF($A39=DATE(2026,6,17),7878.665*'分摊计算'!$C$5,0)</x:f>
        <x:v>1317.2140197813897</x:v>
      </x:c>
      <x:c r="F39" s="19" t="n">
        <x:f>F38+M38+IF($A39=DATE(2026,6,1),7000,0)-IF($A39=DATE(2026,6,16),7878.665*'分摊计算'!$C$6,0)-IF($A39=DATE(2026,6,17),7878.665*'分摊计算'!$C$6,0)</x:f>
        <x:v>1844.0996276939454</x:v>
      </x:c>
      <x:c r="G39" s="19" t="n">
        <x:f>G38+O38+IF($A39=DATE(2026,6,1),1500,0)</x:f>
        <x:v>1430.926467891628</x:v>
      </x:c>
      <x:c r="H39" s="19" t="n">
        <x:f>H38+N38+IF($A39=DATE(2026,6,15),6000,0)-IF($A39=DATE(2026,6,16),6000,0)+IF($A39=DATE(2026,6,16),10000,0)-IF($A39=DATE(2026,6,17),3300,0)-IF($A39=DATE(2026,6,22),5000,0)</x:f>
        <x:v>3071.958050211922</x:v>
      </x:c>
      <x:c r="I39" s="19" t="n">
        <x:f>I38+P38+IF($A39=DATE(2026,6,17),9000,0)+IF($A39=DATE(2026,6,22),1000,0)</x:f>
        <x:v>11087.716883857707</x:v>
      </x:c>
      <x:c r="J39" s="19" t="n">
        <x:f>SUM(D39:I39)</x:f>
        <x:v>22476.04</x:v>
      </x:c>
      <x:c r="K39" s="19" t="n">
        <x:f>IFERROR($B39*D39/$J39,0)</x:f>
        <x:v>0</x:v>
      </x:c>
      <x:c r="L39" s="19" t="n">
        <x:f>IFERROR($B39*E39/$J39,0)</x:f>
        <x:v>0</x:v>
      </x:c>
      <x:c r="M39" s="19" t="n">
        <x:f>IFERROR($B39*F39/$J39,0)</x:f>
        <x:v>0</x:v>
      </x:c>
      <x:c r="N39" s="19" t="n">
        <x:f>IFERROR($B39*H39/$J39,0)</x:f>
        <x:v>0</x:v>
      </x:c>
      <x:c r="O39" s="19" t="n">
        <x:f>IFERROR($B39*G39/$J39,0)</x:f>
        <x:v>0</x:v>
      </x:c>
      <x:c r="P39" s="19" t="n">
        <x:f>IFERROR($B39*I39/$J39,0)</x:f>
        <x:v>0</x:v>
      </x:c>
    </x:row>
    <x:row r="40">
      <x:c r="A40" s="24"/>
      <x:c r="B40" s="25"/>
      <x:c r="C40" s="25"/>
      <x:c r="D40" s="19" t="n">
        <x:f>D39+K39+IF($A40=DATE(2026,6,1),14136.37,0)-IF($A40=DATE(2026,6,16),7878.665*'分摊计算'!$C$4,0)-IF($A40=DATE(2026,6,17),7878.665*'分摊计算'!$C$4,0)</x:f>
        <x:v>3724.124950563409</x:v>
      </x:c>
      <x:c r="E40" s="19" t="n">
        <x:f>E39+L39+IF($A40=DATE(2026,6,1),5000,0)-IF($A40=DATE(2026,6,16),7878.665*'分摊计算'!$C$5,0)-IF($A40=DATE(2026,6,17),7878.665*'分摊计算'!$C$5,0)</x:f>
        <x:v>1317.2140197813897</x:v>
      </x:c>
      <x:c r="F40" s="19" t="n">
        <x:f>F39+M39+IF($A40=DATE(2026,6,1),7000,0)-IF($A40=DATE(2026,6,16),7878.665*'分摊计算'!$C$6,0)-IF($A40=DATE(2026,6,17),7878.665*'分摊计算'!$C$6,0)</x:f>
        <x:v>1844.0996276939454</x:v>
      </x:c>
      <x:c r="G40" s="19" t="n">
        <x:f>G39+O39+IF($A40=DATE(2026,6,1),1500,0)</x:f>
        <x:v>1430.926467891628</x:v>
      </x:c>
      <x:c r="H40" s="19" t="n">
        <x:f>H39+N39+IF($A40=DATE(2026,6,15),6000,0)-IF($A40=DATE(2026,6,16),6000,0)+IF($A40=DATE(2026,6,16),10000,0)-IF($A40=DATE(2026,6,17),3300,0)-IF($A40=DATE(2026,6,22),5000,0)</x:f>
        <x:v>3071.958050211922</x:v>
      </x:c>
      <x:c r="I40" s="19" t="n">
        <x:f>I39+P39+IF($A40=DATE(2026,6,17),9000,0)+IF($A40=DATE(2026,6,22),1000,0)</x:f>
        <x:v>11087.716883857707</x:v>
      </x:c>
      <x:c r="J40" s="19" t="n">
        <x:f>SUM(D40:I40)</x:f>
        <x:v>22476.04</x:v>
      </x:c>
      <x:c r="K40" s="19" t="n">
        <x:f>IFERROR($B40*D40/$J40,0)</x:f>
        <x:v>0</x:v>
      </x:c>
      <x:c r="L40" s="19" t="n">
        <x:f>IFERROR($B40*E40/$J40,0)</x:f>
        <x:v>0</x:v>
      </x:c>
      <x:c r="M40" s="19" t="n">
        <x:f>IFERROR($B40*F40/$J40,0)</x:f>
        <x:v>0</x:v>
      </x:c>
      <x:c r="N40" s="19" t="n">
        <x:f>IFERROR($B40*H40/$J40,0)</x:f>
        <x:v>0</x:v>
      </x:c>
      <x:c r="O40" s="19" t="n">
        <x:f>IFERROR($B40*G40/$J40,0)</x:f>
        <x:v>0</x:v>
      </x:c>
      <x:c r="P40" s="19" t="n">
        <x:f>IFERROR($B40*I40/$J40,0)</x:f>
        <x:v>0</x:v>
      </x:c>
    </x:row>
    <x:row r="41">
      <x:c r="A41" s="24"/>
      <x:c r="B41" s="25"/>
      <x:c r="C41" s="25"/>
      <x:c r="D41" s="19" t="n">
        <x:f>D40+K40+IF($A41=DATE(2026,6,1),14136.37,0)-IF($A41=DATE(2026,6,16),7878.665*'分摊计算'!$C$4,0)-IF($A41=DATE(2026,6,17),7878.665*'分摊计算'!$C$4,0)</x:f>
        <x:v>3724.124950563409</x:v>
      </x:c>
      <x:c r="E41" s="19" t="n">
        <x:f>E40+L40+IF($A41=DATE(2026,6,1),5000,0)-IF($A41=DATE(2026,6,16),7878.665*'分摊计算'!$C$5,0)-IF($A41=DATE(2026,6,17),7878.665*'分摊计算'!$C$5,0)</x:f>
        <x:v>1317.2140197813897</x:v>
      </x:c>
      <x:c r="F41" s="19" t="n">
        <x:f>F40+M40+IF($A41=DATE(2026,6,1),7000,0)-IF($A41=DATE(2026,6,16),7878.665*'分摊计算'!$C$6,0)-IF($A41=DATE(2026,6,17),7878.665*'分摊计算'!$C$6,0)</x:f>
        <x:v>1844.0996276939454</x:v>
      </x:c>
      <x:c r="G41" s="19" t="n">
        <x:f>G40+O40+IF($A41=DATE(2026,6,1),1500,0)</x:f>
        <x:v>1430.926467891628</x:v>
      </x:c>
      <x:c r="H41" s="19" t="n">
        <x:f>H40+N40+IF($A41=DATE(2026,6,15),6000,0)-IF($A41=DATE(2026,6,16),6000,0)+IF($A41=DATE(2026,6,16),10000,0)-IF($A41=DATE(2026,6,17),3300,0)-IF($A41=DATE(2026,6,22),5000,0)</x:f>
        <x:v>3071.958050211922</x:v>
      </x:c>
      <x:c r="I41" s="19" t="n">
        <x:f>I40+P40+IF($A41=DATE(2026,6,17),9000,0)+IF($A41=DATE(2026,6,22),1000,0)</x:f>
        <x:v>11087.716883857707</x:v>
      </x:c>
      <x:c r="J41" s="19" t="n">
        <x:f>SUM(D41:I41)</x:f>
        <x:v>22476.04</x:v>
      </x:c>
      <x:c r="K41" s="19" t="n">
        <x:f>IFERROR($B41*D41/$J41,0)</x:f>
        <x:v>0</x:v>
      </x:c>
      <x:c r="L41" s="19" t="n">
        <x:f>IFERROR($B41*E41/$J41,0)</x:f>
        <x:v>0</x:v>
      </x:c>
      <x:c r="M41" s="19" t="n">
        <x:f>IFERROR($B41*F41/$J41,0)</x:f>
        <x:v>0</x:v>
      </x:c>
      <x:c r="N41" s="19" t="n">
        <x:f>IFERROR($B41*H41/$J41,0)</x:f>
        <x:v>0</x:v>
      </x:c>
      <x:c r="O41" s="19" t="n">
        <x:f>IFERROR($B41*G41/$J41,0)</x:f>
        <x:v>0</x:v>
      </x:c>
      <x:c r="P41" s="19" t="n">
        <x:f>IFERROR($B41*I41/$J41,0)</x:f>
        <x:v>0</x:v>
      </x:c>
    </x:row>
    <x:row r="42">
      <x:c r="A42" s="24"/>
      <x:c r="B42" s="25"/>
      <x:c r="C42" s="25"/>
      <x:c r="D42" s="19" t="n">
        <x:f>D41+K41+IF($A42=DATE(2026,6,1),14136.37,0)-IF($A42=DATE(2026,6,16),7878.665*'分摊计算'!$C$4,0)-IF($A42=DATE(2026,6,17),7878.665*'分摊计算'!$C$4,0)</x:f>
        <x:v>3724.124950563409</x:v>
      </x:c>
      <x:c r="E42" s="19" t="n">
        <x:f>E41+L41+IF($A42=DATE(2026,6,1),5000,0)-IF($A42=DATE(2026,6,16),7878.665*'分摊计算'!$C$5,0)-IF($A42=DATE(2026,6,17),7878.665*'分摊计算'!$C$5,0)</x:f>
        <x:v>1317.2140197813897</x:v>
      </x:c>
      <x:c r="F42" s="19" t="n">
        <x:f>F41+M41+IF($A42=DATE(2026,6,1),7000,0)-IF($A42=DATE(2026,6,16),7878.665*'分摊计算'!$C$6,0)-IF($A42=DATE(2026,6,17),7878.665*'分摊计算'!$C$6,0)</x:f>
        <x:v>1844.0996276939454</x:v>
      </x:c>
      <x:c r="G42" s="19" t="n">
        <x:f>G41+O41+IF($A42=DATE(2026,6,1),1500,0)</x:f>
        <x:v>1430.926467891628</x:v>
      </x:c>
      <x:c r="H42" s="19" t="n">
        <x:f>H41+N41+IF($A42=DATE(2026,6,15),6000,0)-IF($A42=DATE(2026,6,16),6000,0)+IF($A42=DATE(2026,6,16),10000,0)-IF($A42=DATE(2026,6,17),3300,0)-IF($A42=DATE(2026,6,22),5000,0)</x:f>
        <x:v>3071.958050211922</x:v>
      </x:c>
      <x:c r="I42" s="19" t="n">
        <x:f>I41+P41+IF($A42=DATE(2026,6,17),9000,0)+IF($A42=DATE(2026,6,22),1000,0)</x:f>
        <x:v>11087.716883857707</x:v>
      </x:c>
      <x:c r="J42" s="19" t="n">
        <x:f>SUM(D42:I42)</x:f>
        <x:v>22476.04</x:v>
      </x:c>
      <x:c r="K42" s="19" t="n">
        <x:f>IFERROR($B42*D42/$J42,0)</x:f>
        <x:v>0</x:v>
      </x:c>
      <x:c r="L42" s="19" t="n">
        <x:f>IFERROR($B42*E42/$J42,0)</x:f>
        <x:v>0</x:v>
      </x:c>
      <x:c r="M42" s="19" t="n">
        <x:f>IFERROR($B42*F42/$J42,0)</x:f>
        <x:v>0</x:v>
      </x:c>
      <x:c r="N42" s="19" t="n">
        <x:f>IFERROR($B42*H42/$J42,0)</x:f>
        <x:v>0</x:v>
      </x:c>
      <x:c r="O42" s="19" t="n">
        <x:f>IFERROR($B42*G42/$J42,0)</x:f>
        <x:v>0</x:v>
      </x:c>
      <x:c r="P42" s="19" t="n">
        <x:f>IFERROR($B42*I42/$J42,0)</x:f>
        <x:v>0</x:v>
      </x:c>
    </x:row>
    <x:row r="43">
      <x:c r="A43" s="24"/>
      <x:c r="B43" s="25"/>
      <x:c r="C43" s="25"/>
      <x:c r="D43" s="19" t="n">
        <x:f>D42+K42+IF($A43=DATE(2026,6,1),14136.37,0)-IF($A43=DATE(2026,6,16),7878.665*'分摊计算'!$C$4,0)-IF($A43=DATE(2026,6,17),7878.665*'分摊计算'!$C$4,0)</x:f>
        <x:v>3724.124950563409</x:v>
      </x:c>
      <x:c r="E43" s="19" t="n">
        <x:f>E42+L42+IF($A43=DATE(2026,6,1),5000,0)-IF($A43=DATE(2026,6,16),7878.665*'分摊计算'!$C$5,0)-IF($A43=DATE(2026,6,17),7878.665*'分摊计算'!$C$5,0)</x:f>
        <x:v>1317.2140197813897</x:v>
      </x:c>
      <x:c r="F43" s="19" t="n">
        <x:f>F42+M42+IF($A43=DATE(2026,6,1),7000,0)-IF($A43=DATE(2026,6,16),7878.665*'分摊计算'!$C$6,0)-IF($A43=DATE(2026,6,17),7878.665*'分摊计算'!$C$6,0)</x:f>
        <x:v>1844.0996276939454</x:v>
      </x:c>
      <x:c r="G43" s="19" t="n">
        <x:f>G42+O42+IF($A43=DATE(2026,6,1),1500,0)</x:f>
        <x:v>1430.926467891628</x:v>
      </x:c>
      <x:c r="H43" s="19" t="n">
        <x:f>H42+N42+IF($A43=DATE(2026,6,15),6000,0)-IF($A43=DATE(2026,6,16),6000,0)+IF($A43=DATE(2026,6,16),10000,0)-IF($A43=DATE(2026,6,17),3300,0)-IF($A43=DATE(2026,6,22),5000,0)</x:f>
        <x:v>3071.958050211922</x:v>
      </x:c>
      <x:c r="I43" s="19" t="n">
        <x:f>I42+P42+IF($A43=DATE(2026,6,17),9000,0)+IF($A43=DATE(2026,6,22),1000,0)</x:f>
        <x:v>11087.716883857707</x:v>
      </x:c>
      <x:c r="J43" s="19" t="n">
        <x:f>SUM(D43:I43)</x:f>
        <x:v>22476.04</x:v>
      </x:c>
      <x:c r="K43" s="19" t="n">
        <x:f>IFERROR($B43*D43/$J43,0)</x:f>
        <x:v>0</x:v>
      </x:c>
      <x:c r="L43" s="19" t="n">
        <x:f>IFERROR($B43*E43/$J43,0)</x:f>
        <x:v>0</x:v>
      </x:c>
      <x:c r="M43" s="19" t="n">
        <x:f>IFERROR($B43*F43/$J43,0)</x:f>
        <x:v>0</x:v>
      </x:c>
      <x:c r="N43" s="19" t="n">
        <x:f>IFERROR($B43*H43/$J43,0)</x:f>
        <x:v>0</x:v>
      </x:c>
      <x:c r="O43" s="19" t="n">
        <x:f>IFERROR($B43*G43/$J43,0)</x:f>
        <x:v>0</x:v>
      </x:c>
      <x:c r="P43" s="19" t="n">
        <x:f>IFERROR($B43*I43/$J43,0)</x:f>
        <x:v>0</x:v>
      </x:c>
    </x:row>
    <x:row r="44">
      <x:c r="A44" s="24"/>
      <x:c r="B44" s="25"/>
      <x:c r="C44" s="25"/>
      <x:c r="D44" s="19" t="n">
        <x:f>D43+K43+IF($A44=DATE(2026,6,1),14136.37,0)-IF($A44=DATE(2026,6,16),7878.665*'分摊计算'!$C$4,0)-IF($A44=DATE(2026,6,17),7878.665*'分摊计算'!$C$4,0)</x:f>
        <x:v>3724.124950563409</x:v>
      </x:c>
      <x:c r="E44" s="19" t="n">
        <x:f>E43+L43+IF($A44=DATE(2026,6,1),5000,0)-IF($A44=DATE(2026,6,16),7878.665*'分摊计算'!$C$5,0)-IF($A44=DATE(2026,6,17),7878.665*'分摊计算'!$C$5,0)</x:f>
        <x:v>1317.2140197813897</x:v>
      </x:c>
      <x:c r="F44" s="19" t="n">
        <x:f>F43+M43+IF($A44=DATE(2026,6,1),7000,0)-IF($A44=DATE(2026,6,16),7878.665*'分摊计算'!$C$6,0)-IF($A44=DATE(2026,6,17),7878.665*'分摊计算'!$C$6,0)</x:f>
        <x:v>1844.0996276939454</x:v>
      </x:c>
      <x:c r="G44" s="19" t="n">
        <x:f>G43+O43+IF($A44=DATE(2026,6,1),1500,0)</x:f>
        <x:v>1430.926467891628</x:v>
      </x:c>
      <x:c r="H44" s="19" t="n">
        <x:f>H43+N43+IF($A44=DATE(2026,6,15),6000,0)-IF($A44=DATE(2026,6,16),6000,0)+IF($A44=DATE(2026,6,16),10000,0)-IF($A44=DATE(2026,6,17),3300,0)-IF($A44=DATE(2026,6,22),5000,0)</x:f>
        <x:v>3071.958050211922</x:v>
      </x:c>
      <x:c r="I44" s="19" t="n">
        <x:f>I43+P43+IF($A44=DATE(2026,6,17),9000,0)+IF($A44=DATE(2026,6,22),1000,0)</x:f>
        <x:v>11087.716883857707</x:v>
      </x:c>
      <x:c r="J44" s="19" t="n">
        <x:f>SUM(D44:I44)</x:f>
        <x:v>22476.04</x:v>
      </x:c>
      <x:c r="K44" s="19" t="n">
        <x:f>IFERROR($B44*D44/$J44,0)</x:f>
        <x:v>0</x:v>
      </x:c>
      <x:c r="L44" s="19" t="n">
        <x:f>IFERROR($B44*E44/$J44,0)</x:f>
        <x:v>0</x:v>
      </x:c>
      <x:c r="M44" s="19" t="n">
        <x:f>IFERROR($B44*F44/$J44,0)</x:f>
        <x:v>0</x:v>
      </x:c>
      <x:c r="N44" s="19" t="n">
        <x:f>IFERROR($B44*H44/$J44,0)</x:f>
        <x:v>0</x:v>
      </x:c>
      <x:c r="O44" s="19" t="n">
        <x:f>IFERROR($B44*G44/$J44,0)</x:f>
        <x:v>0</x:v>
      </x:c>
      <x:c r="P44" s="19" t="n">
        <x:f>IFERROR($B44*I44/$J44,0)</x:f>
        <x:v>0</x:v>
      </x:c>
    </x:row>
    <x:row r="45">
      <x:c r="A45" s="24"/>
      <x:c r="B45" s="25"/>
      <x:c r="C45" s="25"/>
      <x:c r="D45" s="19" t="n">
        <x:f>D44+K44+IF($A45=DATE(2026,6,1),14136.37,0)-IF($A45=DATE(2026,6,16),7878.665*'分摊计算'!$C$4,0)-IF($A45=DATE(2026,6,17),7878.665*'分摊计算'!$C$4,0)</x:f>
        <x:v>3724.124950563409</x:v>
      </x:c>
      <x:c r="E45" s="19" t="n">
        <x:f>E44+L44+IF($A45=DATE(2026,6,1),5000,0)-IF($A45=DATE(2026,6,16),7878.665*'分摊计算'!$C$5,0)-IF($A45=DATE(2026,6,17),7878.665*'分摊计算'!$C$5,0)</x:f>
        <x:v>1317.2140197813897</x:v>
      </x:c>
      <x:c r="F45" s="19" t="n">
        <x:f>F44+M44+IF($A45=DATE(2026,6,1),7000,0)-IF($A45=DATE(2026,6,16),7878.665*'分摊计算'!$C$6,0)-IF($A45=DATE(2026,6,17),7878.665*'分摊计算'!$C$6,0)</x:f>
        <x:v>1844.0996276939454</x:v>
      </x:c>
      <x:c r="G45" s="19" t="n">
        <x:f>G44+O44+IF($A45=DATE(2026,6,1),1500,0)</x:f>
        <x:v>1430.926467891628</x:v>
      </x:c>
      <x:c r="H45" s="19" t="n">
        <x:f>H44+N44+IF($A45=DATE(2026,6,15),6000,0)-IF($A45=DATE(2026,6,16),6000,0)+IF($A45=DATE(2026,6,16),10000,0)-IF($A45=DATE(2026,6,17),3300,0)-IF($A45=DATE(2026,6,22),5000,0)</x:f>
        <x:v>3071.958050211922</x:v>
      </x:c>
      <x:c r="I45" s="19" t="n">
        <x:f>I44+P44+IF($A45=DATE(2026,6,17),9000,0)+IF($A45=DATE(2026,6,22),1000,0)</x:f>
        <x:v>11087.716883857707</x:v>
      </x:c>
      <x:c r="J45" s="19" t="n">
        <x:f>SUM(D45:I45)</x:f>
        <x:v>22476.04</x:v>
      </x:c>
      <x:c r="K45" s="19" t="n">
        <x:f>IFERROR($B45*D45/$J45,0)</x:f>
        <x:v>0</x:v>
      </x:c>
      <x:c r="L45" s="19" t="n">
        <x:f>IFERROR($B45*E45/$J45,0)</x:f>
        <x:v>0</x:v>
      </x:c>
      <x:c r="M45" s="19" t="n">
        <x:f>IFERROR($B45*F45/$J45,0)</x:f>
        <x:v>0</x:v>
      </x:c>
      <x:c r="N45" s="19" t="n">
        <x:f>IFERROR($B45*H45/$J45,0)</x:f>
        <x:v>0</x:v>
      </x:c>
      <x:c r="O45" s="19" t="n">
        <x:f>IFERROR($B45*G45/$J45,0)</x:f>
        <x:v>0</x:v>
      </x:c>
      <x:c r="P45" s="19" t="n">
        <x:f>IFERROR($B45*I45/$J45,0)</x:f>
        <x:v>0</x:v>
      </x:c>
    </x:row>
    <x:row r="46">
      <x:c r="A46" s="24"/>
      <x:c r="B46" s="25"/>
      <x:c r="C46" s="25"/>
      <x:c r="D46" s="19" t="n">
        <x:f>D45+K45+IF($A46=DATE(2026,6,1),14136.37,0)-IF($A46=DATE(2026,6,16),7878.665*'分摊计算'!$C$4,0)-IF($A46=DATE(2026,6,17),7878.665*'分摊计算'!$C$4,0)</x:f>
        <x:v>3724.124950563409</x:v>
      </x:c>
      <x:c r="E46" s="19" t="n">
        <x:f>E45+L45+IF($A46=DATE(2026,6,1),5000,0)-IF($A46=DATE(2026,6,16),7878.665*'分摊计算'!$C$5,0)-IF($A46=DATE(2026,6,17),7878.665*'分摊计算'!$C$5,0)</x:f>
        <x:v>1317.2140197813897</x:v>
      </x:c>
      <x:c r="F46" s="19" t="n">
        <x:f>F45+M45+IF($A46=DATE(2026,6,1),7000,0)-IF($A46=DATE(2026,6,16),7878.665*'分摊计算'!$C$6,0)-IF($A46=DATE(2026,6,17),7878.665*'分摊计算'!$C$6,0)</x:f>
        <x:v>1844.0996276939454</x:v>
      </x:c>
      <x:c r="G46" s="19" t="n">
        <x:f>G45+O45+IF($A46=DATE(2026,6,1),1500,0)</x:f>
        <x:v>1430.926467891628</x:v>
      </x:c>
      <x:c r="H46" s="19" t="n">
        <x:f>H45+N45+IF($A46=DATE(2026,6,15),6000,0)-IF($A46=DATE(2026,6,16),6000,0)+IF($A46=DATE(2026,6,16),10000,0)-IF($A46=DATE(2026,6,17),3300,0)-IF($A46=DATE(2026,6,22),5000,0)</x:f>
        <x:v>3071.958050211922</x:v>
      </x:c>
      <x:c r="I46" s="19" t="n">
        <x:f>I45+P45+IF($A46=DATE(2026,6,17),9000,0)+IF($A46=DATE(2026,6,22),1000,0)</x:f>
        <x:v>11087.716883857707</x:v>
      </x:c>
      <x:c r="J46" s="19" t="n">
        <x:f>SUM(D46:I46)</x:f>
        <x:v>22476.04</x:v>
      </x:c>
      <x:c r="K46" s="19" t="n">
        <x:f>IFERROR($B46*D46/$J46,0)</x:f>
        <x:v>0</x:v>
      </x:c>
      <x:c r="L46" s="19" t="n">
        <x:f>IFERROR($B46*E46/$J46,0)</x:f>
        <x:v>0</x:v>
      </x:c>
      <x:c r="M46" s="19" t="n">
        <x:f>IFERROR($B46*F46/$J46,0)</x:f>
        <x:v>0</x:v>
      </x:c>
      <x:c r="N46" s="19" t="n">
        <x:f>IFERROR($B46*H46/$J46,0)</x:f>
        <x:v>0</x:v>
      </x:c>
      <x:c r="O46" s="19" t="n">
        <x:f>IFERROR($B46*G46/$J46,0)</x:f>
        <x:v>0</x:v>
      </x:c>
      <x:c r="P46" s="19" t="n">
        <x:f>IFERROR($B46*I46/$J46,0)</x:f>
        <x:v>0</x:v>
      </x:c>
    </x:row>
    <x:row r="47">
      <x:c r="A47" s="24"/>
      <x:c r="B47" s="25"/>
      <x:c r="C47" s="25"/>
      <x:c r="D47" s="19" t="n">
        <x:f>D46+K46+IF($A47=DATE(2026,6,1),14136.37,0)-IF($A47=DATE(2026,6,16),7878.665*'分摊计算'!$C$4,0)-IF($A47=DATE(2026,6,17),7878.665*'分摊计算'!$C$4,0)</x:f>
        <x:v>3724.124950563409</x:v>
      </x:c>
      <x:c r="E47" s="19" t="n">
        <x:f>E46+L46+IF($A47=DATE(2026,6,1),5000,0)-IF($A47=DATE(2026,6,16),7878.665*'分摊计算'!$C$5,0)-IF($A47=DATE(2026,6,17),7878.665*'分摊计算'!$C$5,0)</x:f>
        <x:v>1317.2140197813897</x:v>
      </x:c>
      <x:c r="F47" s="19" t="n">
        <x:f>F46+M46+IF($A47=DATE(2026,6,1),7000,0)-IF($A47=DATE(2026,6,16),7878.665*'分摊计算'!$C$6,0)-IF($A47=DATE(2026,6,17),7878.665*'分摊计算'!$C$6,0)</x:f>
        <x:v>1844.0996276939454</x:v>
      </x:c>
      <x:c r="G47" s="19" t="n">
        <x:f>G46+O46+IF($A47=DATE(2026,6,1),1500,0)</x:f>
        <x:v>1430.926467891628</x:v>
      </x:c>
      <x:c r="H47" s="19" t="n">
        <x:f>H46+N46+IF($A47=DATE(2026,6,15),6000,0)-IF($A47=DATE(2026,6,16),6000,0)+IF($A47=DATE(2026,6,16),10000,0)-IF($A47=DATE(2026,6,17),3300,0)-IF($A47=DATE(2026,6,22),5000,0)</x:f>
        <x:v>3071.958050211922</x:v>
      </x:c>
      <x:c r="I47" s="19" t="n">
        <x:f>I46+P46+IF($A47=DATE(2026,6,17),9000,0)+IF($A47=DATE(2026,6,22),1000,0)</x:f>
        <x:v>11087.716883857707</x:v>
      </x:c>
      <x:c r="J47" s="19" t="n">
        <x:f>SUM(D47:I47)</x:f>
        <x:v>22476.04</x:v>
      </x:c>
      <x:c r="K47" s="19" t="n">
        <x:f>IFERROR($B47*D47/$J47,0)</x:f>
        <x:v>0</x:v>
      </x:c>
      <x:c r="L47" s="19" t="n">
        <x:f>IFERROR($B47*E47/$J47,0)</x:f>
        <x:v>0</x:v>
      </x:c>
      <x:c r="M47" s="19" t="n">
        <x:f>IFERROR($B47*F47/$J47,0)</x:f>
        <x:v>0</x:v>
      </x:c>
      <x:c r="N47" s="19" t="n">
        <x:f>IFERROR($B47*H47/$J47,0)</x:f>
        <x:v>0</x:v>
      </x:c>
      <x:c r="O47" s="19" t="n">
        <x:f>IFERROR($B47*G47/$J47,0)</x:f>
        <x:v>0</x:v>
      </x:c>
      <x:c r="P47" s="19" t="n">
        <x:f>IFERROR($B47*I47/$J47,0)</x:f>
        <x:v>0</x:v>
      </x:c>
    </x:row>
    <x:row r="48">
      <x:c r="A48" s="24"/>
      <x:c r="B48" s="25"/>
      <x:c r="C48" s="25"/>
      <x:c r="D48" s="19" t="n">
        <x:f>D47+K47+IF($A48=DATE(2026,6,1),14136.37,0)-IF($A48=DATE(2026,6,16),7878.665*'分摊计算'!$C$4,0)-IF($A48=DATE(2026,6,17),7878.665*'分摊计算'!$C$4,0)</x:f>
        <x:v>3724.124950563409</x:v>
      </x:c>
      <x:c r="E48" s="19" t="n">
        <x:f>E47+L47+IF($A48=DATE(2026,6,1),5000,0)-IF($A48=DATE(2026,6,16),7878.665*'分摊计算'!$C$5,0)-IF($A48=DATE(2026,6,17),7878.665*'分摊计算'!$C$5,0)</x:f>
        <x:v>1317.2140197813897</x:v>
      </x:c>
      <x:c r="F48" s="19" t="n">
        <x:f>F47+M47+IF($A48=DATE(2026,6,1),7000,0)-IF($A48=DATE(2026,6,16),7878.665*'分摊计算'!$C$6,0)-IF($A48=DATE(2026,6,17),7878.665*'分摊计算'!$C$6,0)</x:f>
        <x:v>1844.0996276939454</x:v>
      </x:c>
      <x:c r="G48" s="19" t="n">
        <x:f>G47+O47+IF($A48=DATE(2026,6,1),1500,0)</x:f>
        <x:v>1430.926467891628</x:v>
      </x:c>
      <x:c r="H48" s="19" t="n">
        <x:f>H47+N47+IF($A48=DATE(2026,6,15),6000,0)-IF($A48=DATE(2026,6,16),6000,0)+IF($A48=DATE(2026,6,16),10000,0)-IF($A48=DATE(2026,6,17),3300,0)-IF($A48=DATE(2026,6,22),5000,0)</x:f>
        <x:v>3071.958050211922</x:v>
      </x:c>
      <x:c r="I48" s="19" t="n">
        <x:f>I47+P47+IF($A48=DATE(2026,6,17),9000,0)+IF($A48=DATE(2026,6,22),1000,0)</x:f>
        <x:v>11087.716883857707</x:v>
      </x:c>
      <x:c r="J48" s="19" t="n">
        <x:f>SUM(D48:I48)</x:f>
        <x:v>22476.04</x:v>
      </x:c>
      <x:c r="K48" s="19" t="n">
        <x:f>IFERROR($B48*D48/$J48,0)</x:f>
        <x:v>0</x:v>
      </x:c>
      <x:c r="L48" s="19" t="n">
        <x:f>IFERROR($B48*E48/$J48,0)</x:f>
        <x:v>0</x:v>
      </x:c>
      <x:c r="M48" s="19" t="n">
        <x:f>IFERROR($B48*F48/$J48,0)</x:f>
        <x:v>0</x:v>
      </x:c>
      <x:c r="N48" s="19" t="n">
        <x:f>IFERROR($B48*H48/$J48,0)</x:f>
        <x:v>0</x:v>
      </x:c>
      <x:c r="O48" s="19" t="n">
        <x:f>IFERROR($B48*G48/$J48,0)</x:f>
        <x:v>0</x:v>
      </x:c>
      <x:c r="P48" s="19" t="n">
        <x:f>IFERROR($B48*I48/$J48,0)</x:f>
        <x:v>0</x:v>
      </x:c>
    </x:row>
    <x:row r="49">
      <x:c r="A49" s="24"/>
      <x:c r="B49" s="25"/>
      <x:c r="C49" s="25"/>
      <x:c r="D49" s="19" t="n">
        <x:f>D48+K48+IF($A49=DATE(2026,6,1),14136.37,0)-IF($A49=DATE(2026,6,16),7878.665*'分摊计算'!$C$4,0)-IF($A49=DATE(2026,6,17),7878.665*'分摊计算'!$C$4,0)</x:f>
        <x:v>3724.124950563409</x:v>
      </x:c>
      <x:c r="E49" s="19" t="n">
        <x:f>E48+L48+IF($A49=DATE(2026,6,1),5000,0)-IF($A49=DATE(2026,6,16),7878.665*'分摊计算'!$C$5,0)-IF($A49=DATE(2026,6,17),7878.665*'分摊计算'!$C$5,0)</x:f>
        <x:v>1317.2140197813897</x:v>
      </x:c>
      <x:c r="F49" s="19" t="n">
        <x:f>F48+M48+IF($A49=DATE(2026,6,1),7000,0)-IF($A49=DATE(2026,6,16),7878.665*'分摊计算'!$C$6,0)-IF($A49=DATE(2026,6,17),7878.665*'分摊计算'!$C$6,0)</x:f>
        <x:v>1844.0996276939454</x:v>
      </x:c>
      <x:c r="G49" s="19" t="n">
        <x:f>G48+O48+IF($A49=DATE(2026,6,1),1500,0)</x:f>
        <x:v>1430.926467891628</x:v>
      </x:c>
      <x:c r="H49" s="19" t="n">
        <x:f>H48+N48+IF($A49=DATE(2026,6,15),6000,0)-IF($A49=DATE(2026,6,16),6000,0)+IF($A49=DATE(2026,6,16),10000,0)-IF($A49=DATE(2026,6,17),3300,0)-IF($A49=DATE(2026,6,22),5000,0)</x:f>
        <x:v>3071.958050211922</x:v>
      </x:c>
      <x:c r="I49" s="19" t="n">
        <x:f>I48+P48+IF($A49=DATE(2026,6,17),9000,0)+IF($A49=DATE(2026,6,22),1000,0)</x:f>
        <x:v>11087.716883857707</x:v>
      </x:c>
      <x:c r="J49" s="19" t="n">
        <x:f>SUM(D49:I49)</x:f>
        <x:v>22476.04</x:v>
      </x:c>
      <x:c r="K49" s="19" t="n">
        <x:f>IFERROR($B49*D49/$J49,0)</x:f>
        <x:v>0</x:v>
      </x:c>
      <x:c r="L49" s="19" t="n">
        <x:f>IFERROR($B49*E49/$J49,0)</x:f>
        <x:v>0</x:v>
      </x:c>
      <x:c r="M49" s="19" t="n">
        <x:f>IFERROR($B49*F49/$J49,0)</x:f>
        <x:v>0</x:v>
      </x:c>
      <x:c r="N49" s="19" t="n">
        <x:f>IFERROR($B49*H49/$J49,0)</x:f>
        <x:v>0</x:v>
      </x:c>
      <x:c r="O49" s="19" t="n">
        <x:f>IFERROR($B49*G49/$J49,0)</x:f>
        <x:v>0</x:v>
      </x:c>
      <x:c r="P49" s="19" t="n">
        <x:f>IFERROR($B49*I49/$J49,0)</x:f>
        <x:v>0</x:v>
      </x:c>
    </x:row>
    <x:row r="50">
      <x:c r="A50" s="24"/>
      <x:c r="B50" s="25"/>
      <x:c r="C50" s="25"/>
      <x:c r="D50" s="19" t="n">
        <x:f>D49+K49+IF($A50=DATE(2026,6,1),14136.37,0)-IF($A50=DATE(2026,6,16),7878.665*'分摊计算'!$C$4,0)-IF($A50=DATE(2026,6,17),7878.665*'分摊计算'!$C$4,0)</x:f>
        <x:v>3724.124950563409</x:v>
      </x:c>
      <x:c r="E50" s="19" t="n">
        <x:f>E49+L49+IF($A50=DATE(2026,6,1),5000,0)-IF($A50=DATE(2026,6,16),7878.665*'分摊计算'!$C$5,0)-IF($A50=DATE(2026,6,17),7878.665*'分摊计算'!$C$5,0)</x:f>
        <x:v>1317.2140197813897</x:v>
      </x:c>
      <x:c r="F50" s="19" t="n">
        <x:f>F49+M49+IF($A50=DATE(2026,6,1),7000,0)-IF($A50=DATE(2026,6,16),7878.665*'分摊计算'!$C$6,0)-IF($A50=DATE(2026,6,17),7878.665*'分摊计算'!$C$6,0)</x:f>
        <x:v>1844.0996276939454</x:v>
      </x:c>
      <x:c r="G50" s="19" t="n">
        <x:f>G49+O49+IF($A50=DATE(2026,6,1),1500,0)</x:f>
        <x:v>1430.926467891628</x:v>
      </x:c>
      <x:c r="H50" s="19" t="n">
        <x:f>H49+N49+IF($A50=DATE(2026,6,15),6000,0)-IF($A50=DATE(2026,6,16),6000,0)+IF($A50=DATE(2026,6,16),10000,0)-IF($A50=DATE(2026,6,17),3300,0)-IF($A50=DATE(2026,6,22),5000,0)</x:f>
        <x:v>3071.958050211922</x:v>
      </x:c>
      <x:c r="I50" s="19" t="n">
        <x:f>I49+P49+IF($A50=DATE(2026,6,17),9000,0)+IF($A50=DATE(2026,6,22),1000,0)</x:f>
        <x:v>11087.716883857707</x:v>
      </x:c>
      <x:c r="J50" s="19" t="n">
        <x:f>SUM(D50:I50)</x:f>
        <x:v>22476.04</x:v>
      </x:c>
      <x:c r="K50" s="19" t="n">
        <x:f>IFERROR($B50*D50/$J50,0)</x:f>
        <x:v>0</x:v>
      </x:c>
      <x:c r="L50" s="19" t="n">
        <x:f>IFERROR($B50*E50/$J50,0)</x:f>
        <x:v>0</x:v>
      </x:c>
      <x:c r="M50" s="19" t="n">
        <x:f>IFERROR($B50*F50/$J50,0)</x:f>
        <x:v>0</x:v>
      </x:c>
      <x:c r="N50" s="19" t="n">
        <x:f>IFERROR($B50*H50/$J50,0)</x:f>
        <x:v>0</x:v>
      </x:c>
      <x:c r="O50" s="19" t="n">
        <x:f>IFERROR($B50*G50/$J50,0)</x:f>
        <x:v>0</x:v>
      </x:c>
      <x:c r="P50" s="19" t="n">
        <x:f>IFERROR($B50*I50/$J50,0)</x:f>
        <x:v>0</x:v>
      </x:c>
    </x:row>
    <x:row r="51">
      <x:c r="A51" s="24"/>
      <x:c r="B51" s="25"/>
      <x:c r="C51" s="25"/>
      <x:c r="D51" s="19" t="n">
        <x:f>D50+K50+IF($A51=DATE(2026,6,1),14136.37,0)-IF($A51=DATE(2026,6,16),7878.665*'分摊计算'!$C$4,0)-IF($A51=DATE(2026,6,17),7878.665*'分摊计算'!$C$4,0)</x:f>
        <x:v>3724.124950563409</x:v>
      </x:c>
      <x:c r="E51" s="19" t="n">
        <x:f>E50+L50+IF($A51=DATE(2026,6,1),5000,0)-IF($A51=DATE(2026,6,16),7878.665*'分摊计算'!$C$5,0)-IF($A51=DATE(2026,6,17),7878.665*'分摊计算'!$C$5,0)</x:f>
        <x:v>1317.2140197813897</x:v>
      </x:c>
      <x:c r="F51" s="19" t="n">
        <x:f>F50+M50+IF($A51=DATE(2026,6,1),7000,0)-IF($A51=DATE(2026,6,16),7878.665*'分摊计算'!$C$6,0)-IF($A51=DATE(2026,6,17),7878.665*'分摊计算'!$C$6,0)</x:f>
        <x:v>1844.0996276939454</x:v>
      </x:c>
      <x:c r="G51" s="19" t="n">
        <x:f>G50+O50+IF($A51=DATE(2026,6,1),1500,0)</x:f>
        <x:v>1430.926467891628</x:v>
      </x:c>
      <x:c r="H51" s="19" t="n">
        <x:f>H50+N50+IF($A51=DATE(2026,6,15),6000,0)-IF($A51=DATE(2026,6,16),6000,0)+IF($A51=DATE(2026,6,16),10000,0)-IF($A51=DATE(2026,6,17),3300,0)-IF($A51=DATE(2026,6,22),5000,0)</x:f>
        <x:v>3071.958050211922</x:v>
      </x:c>
      <x:c r="I51" s="19" t="n">
        <x:f>I50+P50+IF($A51=DATE(2026,6,17),9000,0)+IF($A51=DATE(2026,6,22),1000,0)</x:f>
        <x:v>11087.716883857707</x:v>
      </x:c>
      <x:c r="J51" s="19" t="n">
        <x:f>SUM(D51:I51)</x:f>
        <x:v>22476.04</x:v>
      </x:c>
      <x:c r="K51" s="19" t="n">
        <x:f>IFERROR($B51*D51/$J51,0)</x:f>
        <x:v>0</x:v>
      </x:c>
      <x:c r="L51" s="19" t="n">
        <x:f>IFERROR($B51*E51/$J51,0)</x:f>
        <x:v>0</x:v>
      </x:c>
      <x:c r="M51" s="19" t="n">
        <x:f>IFERROR($B51*F51/$J51,0)</x:f>
        <x:v>0</x:v>
      </x:c>
      <x:c r="N51" s="19" t="n">
        <x:f>IFERROR($B51*H51/$J51,0)</x:f>
        <x:v>0</x:v>
      </x:c>
      <x:c r="O51" s="19" t="n">
        <x:f>IFERROR($B51*G51/$J51,0)</x:f>
        <x:v>0</x:v>
      </x:c>
      <x:c r="P51" s="19" t="n">
        <x:f>IFERROR($B51*I51/$J51,0)</x:f>
        <x:v>0</x:v>
      </x:c>
    </x:row>
    <x:row r="52">
      <x:c r="A52" s="24"/>
      <x:c r="B52" s="25"/>
      <x:c r="C52" s="25"/>
      <x:c r="D52" s="19" t="n">
        <x:f>D51+K51+IF($A52=DATE(2026,6,1),14136.37,0)-IF($A52=DATE(2026,6,16),7878.665*'分摊计算'!$C$4,0)-IF($A52=DATE(2026,6,17),7878.665*'分摊计算'!$C$4,0)</x:f>
        <x:v>3724.124950563409</x:v>
      </x:c>
      <x:c r="E52" s="19" t="n">
        <x:f>E51+L51+IF($A52=DATE(2026,6,1),5000,0)-IF($A52=DATE(2026,6,16),7878.665*'分摊计算'!$C$5,0)-IF($A52=DATE(2026,6,17),7878.665*'分摊计算'!$C$5,0)</x:f>
        <x:v>1317.2140197813897</x:v>
      </x:c>
      <x:c r="F52" s="19" t="n">
        <x:f>F51+M51+IF($A52=DATE(2026,6,1),7000,0)-IF($A52=DATE(2026,6,16),7878.665*'分摊计算'!$C$6,0)-IF($A52=DATE(2026,6,17),7878.665*'分摊计算'!$C$6,0)</x:f>
        <x:v>1844.0996276939454</x:v>
      </x:c>
      <x:c r="G52" s="19" t="n">
        <x:f>G51+O51+IF($A52=DATE(2026,6,1),1500,0)</x:f>
        <x:v>1430.926467891628</x:v>
      </x:c>
      <x:c r="H52" s="19" t="n">
        <x:f>H51+N51+IF($A52=DATE(2026,6,15),6000,0)-IF($A52=DATE(2026,6,16),6000,0)+IF($A52=DATE(2026,6,16),10000,0)-IF($A52=DATE(2026,6,17),3300,0)-IF($A52=DATE(2026,6,22),5000,0)</x:f>
        <x:v>3071.958050211922</x:v>
      </x:c>
      <x:c r="I52" s="19" t="n">
        <x:f>I51+P51+IF($A52=DATE(2026,6,17),9000,0)+IF($A52=DATE(2026,6,22),1000,0)</x:f>
        <x:v>11087.716883857707</x:v>
      </x:c>
      <x:c r="J52" s="19" t="n">
        <x:f>SUM(D52:I52)</x:f>
        <x:v>22476.04</x:v>
      </x:c>
      <x:c r="K52" s="19" t="n">
        <x:f>IFERROR($B52*D52/$J52,0)</x:f>
        <x:v>0</x:v>
      </x:c>
      <x:c r="L52" s="19" t="n">
        <x:f>IFERROR($B52*E52/$J52,0)</x:f>
        <x:v>0</x:v>
      </x:c>
      <x:c r="M52" s="19" t="n">
        <x:f>IFERROR($B52*F52/$J52,0)</x:f>
        <x:v>0</x:v>
      </x:c>
      <x:c r="N52" s="19" t="n">
        <x:f>IFERROR($B52*H52/$J52,0)</x:f>
        <x:v>0</x:v>
      </x:c>
      <x:c r="O52" s="19" t="n">
        <x:f>IFERROR($B52*G52/$J52,0)</x:f>
        <x:v>0</x:v>
      </x:c>
      <x:c r="P52" s="19" t="n">
        <x:f>IFERROR($B52*I52/$J52,0)</x:f>
        <x:v>0</x:v>
      </x:c>
    </x:row>
    <x:row r="53">
      <x:c r="A53" s="24"/>
      <x:c r="B53" s="25"/>
      <x:c r="C53" s="25"/>
      <x:c r="D53" s="19" t="n">
        <x:f>D52+K52+IF($A53=DATE(2026,6,1),14136.37,0)-IF($A53=DATE(2026,6,16),7878.665*'分摊计算'!$C$4,0)-IF($A53=DATE(2026,6,17),7878.665*'分摊计算'!$C$4,0)</x:f>
        <x:v>3724.124950563409</x:v>
      </x:c>
      <x:c r="E53" s="19" t="n">
        <x:f>E52+L52+IF($A53=DATE(2026,6,1),5000,0)-IF($A53=DATE(2026,6,16),7878.665*'分摊计算'!$C$5,0)-IF($A53=DATE(2026,6,17),7878.665*'分摊计算'!$C$5,0)</x:f>
        <x:v>1317.2140197813897</x:v>
      </x:c>
      <x:c r="F53" s="19" t="n">
        <x:f>F52+M52+IF($A53=DATE(2026,6,1),7000,0)-IF($A53=DATE(2026,6,16),7878.665*'分摊计算'!$C$6,0)-IF($A53=DATE(2026,6,17),7878.665*'分摊计算'!$C$6,0)</x:f>
        <x:v>1844.0996276939454</x:v>
      </x:c>
      <x:c r="G53" s="19" t="n">
        <x:f>G52+O52+IF($A53=DATE(2026,6,1),1500,0)</x:f>
        <x:v>1430.926467891628</x:v>
      </x:c>
      <x:c r="H53" s="19" t="n">
        <x:f>H52+N52+IF($A53=DATE(2026,6,15),6000,0)-IF($A53=DATE(2026,6,16),6000,0)+IF($A53=DATE(2026,6,16),10000,0)-IF($A53=DATE(2026,6,17),3300,0)-IF($A53=DATE(2026,6,22),5000,0)</x:f>
        <x:v>3071.958050211922</x:v>
      </x:c>
      <x:c r="I53" s="19" t="n">
        <x:f>I52+P52+IF($A53=DATE(2026,6,17),9000,0)+IF($A53=DATE(2026,6,22),1000,0)</x:f>
        <x:v>11087.716883857707</x:v>
      </x:c>
      <x:c r="J53" s="19" t="n">
        <x:f>SUM(D53:I53)</x:f>
        <x:v>22476.04</x:v>
      </x:c>
      <x:c r="K53" s="19" t="n">
        <x:f>IFERROR($B53*D53/$J53,0)</x:f>
        <x:v>0</x:v>
      </x:c>
      <x:c r="L53" s="19" t="n">
        <x:f>IFERROR($B53*E53/$J53,0)</x:f>
        <x:v>0</x:v>
      </x:c>
      <x:c r="M53" s="19" t="n">
        <x:f>IFERROR($B53*F53/$J53,0)</x:f>
        <x:v>0</x:v>
      </x:c>
      <x:c r="N53" s="19" t="n">
        <x:f>IFERROR($B53*H53/$J53,0)</x:f>
        <x:v>0</x:v>
      </x:c>
      <x:c r="O53" s="19" t="n">
        <x:f>IFERROR($B53*G53/$J53,0)</x:f>
        <x:v>0</x:v>
      </x:c>
      <x:c r="P53" s="19" t="n">
        <x:f>IFERROR($B53*I53/$J53,0)</x:f>
        <x:v>0</x:v>
      </x:c>
    </x:row>
    <x:row r="54">
      <x:c r="A54" s="24"/>
      <x:c r="B54" s="25"/>
      <x:c r="C54" s="25"/>
      <x:c r="D54" s="19" t="n">
        <x:f>D53+K53+IF($A54=DATE(2026,6,1),14136.37,0)-IF($A54=DATE(2026,6,16),7878.665*'分摊计算'!$C$4,0)-IF($A54=DATE(2026,6,17),7878.665*'分摊计算'!$C$4,0)</x:f>
        <x:v>3724.124950563409</x:v>
      </x:c>
      <x:c r="E54" s="19" t="n">
        <x:f>E53+L53+IF($A54=DATE(2026,6,1),5000,0)-IF($A54=DATE(2026,6,16),7878.665*'分摊计算'!$C$5,0)-IF($A54=DATE(2026,6,17),7878.665*'分摊计算'!$C$5,0)</x:f>
        <x:v>1317.2140197813897</x:v>
      </x:c>
      <x:c r="F54" s="19" t="n">
        <x:f>F53+M53+IF($A54=DATE(2026,6,1),7000,0)-IF($A54=DATE(2026,6,16),7878.665*'分摊计算'!$C$6,0)-IF($A54=DATE(2026,6,17),7878.665*'分摊计算'!$C$6,0)</x:f>
        <x:v>1844.0996276939454</x:v>
      </x:c>
      <x:c r="G54" s="19" t="n">
        <x:f>G53+O53+IF($A54=DATE(2026,6,1),1500,0)</x:f>
        <x:v>1430.926467891628</x:v>
      </x:c>
      <x:c r="H54" s="19" t="n">
        <x:f>H53+N53+IF($A54=DATE(2026,6,15),6000,0)-IF($A54=DATE(2026,6,16),6000,0)+IF($A54=DATE(2026,6,16),10000,0)-IF($A54=DATE(2026,6,17),3300,0)-IF($A54=DATE(2026,6,22),5000,0)</x:f>
        <x:v>3071.958050211922</x:v>
      </x:c>
      <x:c r="I54" s="19" t="n">
        <x:f>I53+P53+IF($A54=DATE(2026,6,17),9000,0)+IF($A54=DATE(2026,6,22),1000,0)</x:f>
        <x:v>11087.716883857707</x:v>
      </x:c>
      <x:c r="J54" s="19" t="n">
        <x:f>SUM(D54:I54)</x:f>
        <x:v>22476.04</x:v>
      </x:c>
      <x:c r="K54" s="19" t="n">
        <x:f>IFERROR($B54*D54/$J54,0)</x:f>
        <x:v>0</x:v>
      </x:c>
      <x:c r="L54" s="19" t="n">
        <x:f>IFERROR($B54*E54/$J54,0)</x:f>
        <x:v>0</x:v>
      </x:c>
      <x:c r="M54" s="19" t="n">
        <x:f>IFERROR($B54*F54/$J54,0)</x:f>
        <x:v>0</x:v>
      </x:c>
      <x:c r="N54" s="19" t="n">
        <x:f>IFERROR($B54*H54/$J54,0)</x:f>
        <x:v>0</x:v>
      </x:c>
      <x:c r="O54" s="19" t="n">
        <x:f>IFERROR($B54*G54/$J54,0)</x:f>
        <x:v>0</x:v>
      </x:c>
      <x:c r="P54" s="19" t="n">
        <x:f>IFERROR($B54*I54/$J54,0)</x:f>
        <x:v>0</x:v>
      </x:c>
    </x:row>
    <x:row r="55">
      <x:c r="A55" s="24"/>
      <x:c r="B55" s="25"/>
      <x:c r="C55" s="25"/>
      <x:c r="D55" s="19" t="n">
        <x:f>D54+K54+IF($A55=DATE(2026,6,1),14136.37,0)-IF($A55=DATE(2026,6,16),7878.665*'分摊计算'!$C$4,0)-IF($A55=DATE(2026,6,17),7878.665*'分摊计算'!$C$4,0)</x:f>
        <x:v>3724.124950563409</x:v>
      </x:c>
      <x:c r="E55" s="19" t="n">
        <x:f>E54+L54+IF($A55=DATE(2026,6,1),5000,0)-IF($A55=DATE(2026,6,16),7878.665*'分摊计算'!$C$5,0)-IF($A55=DATE(2026,6,17),7878.665*'分摊计算'!$C$5,0)</x:f>
        <x:v>1317.2140197813897</x:v>
      </x:c>
      <x:c r="F55" s="19" t="n">
        <x:f>F54+M54+IF($A55=DATE(2026,6,1),7000,0)-IF($A55=DATE(2026,6,16),7878.665*'分摊计算'!$C$6,0)-IF($A55=DATE(2026,6,17),7878.665*'分摊计算'!$C$6,0)</x:f>
        <x:v>1844.0996276939454</x:v>
      </x:c>
      <x:c r="G55" s="19" t="n">
        <x:f>G54+O54+IF($A55=DATE(2026,6,1),1500,0)</x:f>
        <x:v>1430.926467891628</x:v>
      </x:c>
      <x:c r="H55" s="19" t="n">
        <x:f>H54+N54+IF($A55=DATE(2026,6,15),6000,0)-IF($A55=DATE(2026,6,16),6000,0)+IF($A55=DATE(2026,6,16),10000,0)-IF($A55=DATE(2026,6,17),3300,0)-IF($A55=DATE(2026,6,22),5000,0)</x:f>
        <x:v>3071.958050211922</x:v>
      </x:c>
      <x:c r="I55" s="19" t="n">
        <x:f>I54+P54+IF($A55=DATE(2026,6,17),9000,0)+IF($A55=DATE(2026,6,22),1000,0)</x:f>
        <x:v>11087.716883857707</x:v>
      </x:c>
      <x:c r="J55" s="19" t="n">
        <x:f>SUM(D55:I55)</x:f>
        <x:v>22476.04</x:v>
      </x:c>
      <x:c r="K55" s="19" t="n">
        <x:f>IFERROR($B55*D55/$J55,0)</x:f>
        <x:v>0</x:v>
      </x:c>
      <x:c r="L55" s="19" t="n">
        <x:f>IFERROR($B55*E55/$J55,0)</x:f>
        <x:v>0</x:v>
      </x:c>
      <x:c r="M55" s="19" t="n">
        <x:f>IFERROR($B55*F55/$J55,0)</x:f>
        <x:v>0</x:v>
      </x:c>
      <x:c r="N55" s="19" t="n">
        <x:f>IFERROR($B55*H55/$J55,0)</x:f>
        <x:v>0</x:v>
      </x:c>
      <x:c r="O55" s="19" t="n">
        <x:f>IFERROR($B55*G55/$J55,0)</x:f>
        <x:v>0</x:v>
      </x:c>
      <x:c r="P55" s="19" t="n">
        <x:f>IFERROR($B55*I55/$J55,0)</x:f>
        <x:v>0</x:v>
      </x:c>
    </x:row>
    <x:row r="56">
      <x:c r="A56" s="24"/>
      <x:c r="B56" s="25"/>
      <x:c r="C56" s="25"/>
      <x:c r="D56" s="19" t="n">
        <x:f>D55+K55+IF($A56=DATE(2026,6,1),14136.37,0)-IF($A56=DATE(2026,6,16),7878.665*'分摊计算'!$C$4,0)-IF($A56=DATE(2026,6,17),7878.665*'分摊计算'!$C$4,0)</x:f>
        <x:v>3724.124950563409</x:v>
      </x:c>
      <x:c r="E56" s="19" t="n">
        <x:f>E55+L55+IF($A56=DATE(2026,6,1),5000,0)-IF($A56=DATE(2026,6,16),7878.665*'分摊计算'!$C$5,0)-IF($A56=DATE(2026,6,17),7878.665*'分摊计算'!$C$5,0)</x:f>
        <x:v>1317.2140197813897</x:v>
      </x:c>
      <x:c r="F56" s="19" t="n">
        <x:f>F55+M55+IF($A56=DATE(2026,6,1),7000,0)-IF($A56=DATE(2026,6,16),7878.665*'分摊计算'!$C$6,0)-IF($A56=DATE(2026,6,17),7878.665*'分摊计算'!$C$6,0)</x:f>
        <x:v>1844.0996276939454</x:v>
      </x:c>
      <x:c r="G56" s="19" t="n">
        <x:f>G55+O55+IF($A56=DATE(2026,6,1),1500,0)</x:f>
        <x:v>1430.926467891628</x:v>
      </x:c>
      <x:c r="H56" s="19" t="n">
        <x:f>H55+N55+IF($A56=DATE(2026,6,15),6000,0)-IF($A56=DATE(2026,6,16),6000,0)+IF($A56=DATE(2026,6,16),10000,0)-IF($A56=DATE(2026,6,17),3300,0)-IF($A56=DATE(2026,6,22),5000,0)</x:f>
        <x:v>3071.958050211922</x:v>
      </x:c>
      <x:c r="I56" s="19" t="n">
        <x:f>I55+P55+IF($A56=DATE(2026,6,17),9000,0)+IF($A56=DATE(2026,6,22),1000,0)</x:f>
        <x:v>11087.716883857707</x:v>
      </x:c>
      <x:c r="J56" s="19" t="n">
        <x:f>SUM(D56:I56)</x:f>
        <x:v>22476.04</x:v>
      </x:c>
      <x:c r="K56" s="19" t="n">
        <x:f>IFERROR($B56*D56/$J56,0)</x:f>
        <x:v>0</x:v>
      </x:c>
      <x:c r="L56" s="19" t="n">
        <x:f>IFERROR($B56*E56/$J56,0)</x:f>
        <x:v>0</x:v>
      </x:c>
      <x:c r="M56" s="19" t="n">
        <x:f>IFERROR($B56*F56/$J56,0)</x:f>
        <x:v>0</x:v>
      </x:c>
      <x:c r="N56" s="19" t="n">
        <x:f>IFERROR($B56*H56/$J56,0)</x:f>
        <x:v>0</x:v>
      </x:c>
      <x:c r="O56" s="19" t="n">
        <x:f>IFERROR($B56*G56/$J56,0)</x:f>
        <x:v>0</x:v>
      </x:c>
      <x:c r="P56" s="19" t="n">
        <x:f>IFERROR($B56*I56/$J56,0)</x:f>
        <x:v>0</x:v>
      </x:c>
    </x:row>
    <x:row r="57">
      <x:c r="A57" s="24"/>
      <x:c r="B57" s="25"/>
      <x:c r="C57" s="25"/>
      <x:c r="D57" s="19" t="n">
        <x:f>D56+K56+IF($A57=DATE(2026,6,1),14136.37,0)-IF($A57=DATE(2026,6,16),7878.665*'分摊计算'!$C$4,0)-IF($A57=DATE(2026,6,17),7878.665*'分摊计算'!$C$4,0)</x:f>
        <x:v>3724.124950563409</x:v>
      </x:c>
      <x:c r="E57" s="19" t="n">
        <x:f>E56+L56+IF($A57=DATE(2026,6,1),5000,0)-IF($A57=DATE(2026,6,16),7878.665*'分摊计算'!$C$5,0)-IF($A57=DATE(2026,6,17),7878.665*'分摊计算'!$C$5,0)</x:f>
        <x:v>1317.2140197813897</x:v>
      </x:c>
      <x:c r="F57" s="19" t="n">
        <x:f>F56+M56+IF($A57=DATE(2026,6,1),7000,0)-IF($A57=DATE(2026,6,16),7878.665*'分摊计算'!$C$6,0)-IF($A57=DATE(2026,6,17),7878.665*'分摊计算'!$C$6,0)</x:f>
        <x:v>1844.0996276939454</x:v>
      </x:c>
      <x:c r="G57" s="19" t="n">
        <x:f>G56+O56+IF($A57=DATE(2026,6,1),1500,0)</x:f>
        <x:v>1430.926467891628</x:v>
      </x:c>
      <x:c r="H57" s="19" t="n">
        <x:f>H56+N56+IF($A57=DATE(2026,6,15),6000,0)-IF($A57=DATE(2026,6,16),6000,0)+IF($A57=DATE(2026,6,16),10000,0)-IF($A57=DATE(2026,6,17),3300,0)-IF($A57=DATE(2026,6,22),5000,0)</x:f>
        <x:v>3071.958050211922</x:v>
      </x:c>
      <x:c r="I57" s="19" t="n">
        <x:f>I56+P56+IF($A57=DATE(2026,6,17),9000,0)+IF($A57=DATE(2026,6,22),1000,0)</x:f>
        <x:v>11087.716883857707</x:v>
      </x:c>
      <x:c r="J57" s="19" t="n">
        <x:f>SUM(D57:I57)</x:f>
        <x:v>22476.04</x:v>
      </x:c>
      <x:c r="K57" s="19" t="n">
        <x:f>IFERROR($B57*D57/$J57,0)</x:f>
        <x:v>0</x:v>
      </x:c>
      <x:c r="L57" s="19" t="n">
        <x:f>IFERROR($B57*E57/$J57,0)</x:f>
        <x:v>0</x:v>
      </x:c>
      <x:c r="M57" s="19" t="n">
        <x:f>IFERROR($B57*F57/$J57,0)</x:f>
        <x:v>0</x:v>
      </x:c>
      <x:c r="N57" s="19" t="n">
        <x:f>IFERROR($B57*H57/$J57,0)</x:f>
        <x:v>0</x:v>
      </x:c>
      <x:c r="O57" s="19" t="n">
        <x:f>IFERROR($B57*G57/$J57,0)</x:f>
        <x:v>0</x:v>
      </x:c>
      <x:c r="P57" s="19" t="n">
        <x:f>IFERROR($B57*I57/$J57,0)</x:f>
        <x:v>0</x:v>
      </x:c>
    </x:row>
    <x:row r="58">
      <x:c r="A58" s="24"/>
      <x:c r="B58" s="25"/>
      <x:c r="C58" s="25"/>
      <x:c r="D58" s="19" t="n">
        <x:f>D57+K57+IF($A58=DATE(2026,6,1),14136.37,0)-IF($A58=DATE(2026,6,16),7878.665*'分摊计算'!$C$4,0)-IF($A58=DATE(2026,6,17),7878.665*'分摊计算'!$C$4,0)</x:f>
        <x:v>3724.124950563409</x:v>
      </x:c>
      <x:c r="E58" s="19" t="n">
        <x:f>E57+L57+IF($A58=DATE(2026,6,1),5000,0)-IF($A58=DATE(2026,6,16),7878.665*'分摊计算'!$C$5,0)-IF($A58=DATE(2026,6,17),7878.665*'分摊计算'!$C$5,0)</x:f>
        <x:v>1317.2140197813897</x:v>
      </x:c>
      <x:c r="F58" s="19" t="n">
        <x:f>F57+M57+IF($A58=DATE(2026,6,1),7000,0)-IF($A58=DATE(2026,6,16),7878.665*'分摊计算'!$C$6,0)-IF($A58=DATE(2026,6,17),7878.665*'分摊计算'!$C$6,0)</x:f>
        <x:v>1844.0996276939454</x:v>
      </x:c>
      <x:c r="G58" s="19" t="n">
        <x:f>G57+O57+IF($A58=DATE(2026,6,1),1500,0)</x:f>
        <x:v>1430.926467891628</x:v>
      </x:c>
      <x:c r="H58" s="19" t="n">
        <x:f>H57+N57+IF($A58=DATE(2026,6,15),6000,0)-IF($A58=DATE(2026,6,16),6000,0)+IF($A58=DATE(2026,6,16),10000,0)-IF($A58=DATE(2026,6,17),3300,0)-IF($A58=DATE(2026,6,22),5000,0)</x:f>
        <x:v>3071.958050211922</x:v>
      </x:c>
      <x:c r="I58" s="19" t="n">
        <x:f>I57+P57+IF($A58=DATE(2026,6,17),9000,0)+IF($A58=DATE(2026,6,22),1000,0)</x:f>
        <x:v>11087.716883857707</x:v>
      </x:c>
      <x:c r="J58" s="19" t="n">
        <x:f>SUM(D58:I58)</x:f>
        <x:v>22476.04</x:v>
      </x:c>
      <x:c r="K58" s="19" t="n">
        <x:f>IFERROR($B58*D58/$J58,0)</x:f>
        <x:v>0</x:v>
      </x:c>
      <x:c r="L58" s="19" t="n">
        <x:f>IFERROR($B58*E58/$J58,0)</x:f>
        <x:v>0</x:v>
      </x:c>
      <x:c r="M58" s="19" t="n">
        <x:f>IFERROR($B58*F58/$J58,0)</x:f>
        <x:v>0</x:v>
      </x:c>
      <x:c r="N58" s="19" t="n">
        <x:f>IFERROR($B58*H58/$J58,0)</x:f>
        <x:v>0</x:v>
      </x:c>
      <x:c r="O58" s="19" t="n">
        <x:f>IFERROR($B58*G58/$J58,0)</x:f>
        <x:v>0</x:v>
      </x:c>
      <x:c r="P58" s="19" t="n">
        <x:f>IFERROR($B58*I58/$J58,0)</x:f>
        <x:v>0</x:v>
      </x:c>
    </x:row>
    <x:row r="59">
      <x:c r="A59" s="24"/>
      <x:c r="B59" s="25"/>
      <x:c r="C59" s="25"/>
      <x:c r="D59" s="19" t="n">
        <x:f>D58+K58+IF($A59=DATE(2026,6,1),14136.37,0)-IF($A59=DATE(2026,6,16),7878.665*'分摊计算'!$C$4,0)-IF($A59=DATE(2026,6,17),7878.665*'分摊计算'!$C$4,0)</x:f>
        <x:v>3724.124950563409</x:v>
      </x:c>
      <x:c r="E59" s="19" t="n">
        <x:f>E58+L58+IF($A59=DATE(2026,6,1),5000,0)-IF($A59=DATE(2026,6,16),7878.665*'分摊计算'!$C$5,0)-IF($A59=DATE(2026,6,17),7878.665*'分摊计算'!$C$5,0)</x:f>
        <x:v>1317.2140197813897</x:v>
      </x:c>
      <x:c r="F59" s="19" t="n">
        <x:f>F58+M58+IF($A59=DATE(2026,6,1),7000,0)-IF($A59=DATE(2026,6,16),7878.665*'分摊计算'!$C$6,0)-IF($A59=DATE(2026,6,17),7878.665*'分摊计算'!$C$6,0)</x:f>
        <x:v>1844.0996276939454</x:v>
      </x:c>
      <x:c r="G59" s="19" t="n">
        <x:f>G58+O58+IF($A59=DATE(2026,6,1),1500,0)</x:f>
        <x:v>1430.926467891628</x:v>
      </x:c>
      <x:c r="H59" s="19" t="n">
        <x:f>H58+N58+IF($A59=DATE(2026,6,15),6000,0)-IF($A59=DATE(2026,6,16),6000,0)+IF($A59=DATE(2026,6,16),10000,0)-IF($A59=DATE(2026,6,17),3300,0)-IF($A59=DATE(2026,6,22),5000,0)</x:f>
        <x:v>3071.958050211922</x:v>
      </x:c>
      <x:c r="I59" s="19" t="n">
        <x:f>I58+P58+IF($A59=DATE(2026,6,17),9000,0)+IF($A59=DATE(2026,6,22),1000,0)</x:f>
        <x:v>11087.716883857707</x:v>
      </x:c>
      <x:c r="J59" s="19" t="n">
        <x:f>SUM(D59:I59)</x:f>
        <x:v>22476.04</x:v>
      </x:c>
      <x:c r="K59" s="19" t="n">
        <x:f>IFERROR($B59*D59/$J59,0)</x:f>
        <x:v>0</x:v>
      </x:c>
      <x:c r="L59" s="19" t="n">
        <x:f>IFERROR($B59*E59/$J59,0)</x:f>
        <x:v>0</x:v>
      </x:c>
      <x:c r="M59" s="19" t="n">
        <x:f>IFERROR($B59*F59/$J59,0)</x:f>
        <x:v>0</x:v>
      </x:c>
      <x:c r="N59" s="19" t="n">
        <x:f>IFERROR($B59*H59/$J59,0)</x:f>
        <x:v>0</x:v>
      </x:c>
      <x:c r="O59" s="19" t="n">
        <x:f>IFERROR($B59*G59/$J59,0)</x:f>
        <x:v>0</x:v>
      </x:c>
      <x:c r="P59" s="19" t="n">
        <x:f>IFERROR($B59*I59/$J59,0)</x:f>
        <x:v>0</x:v>
      </x:c>
    </x:row>
    <x:row r="60">
      <x:c r="A60" s="24"/>
      <x:c r="B60" s="25"/>
      <x:c r="C60" s="25"/>
      <x:c r="D60" s="19" t="n">
        <x:f>D59+K59+IF($A60=DATE(2026,6,1),14136.37,0)-IF($A60=DATE(2026,6,16),7878.665*'分摊计算'!$C$4,0)-IF($A60=DATE(2026,6,17),7878.665*'分摊计算'!$C$4,0)</x:f>
        <x:v>3724.124950563409</x:v>
      </x:c>
      <x:c r="E60" s="19" t="n">
        <x:f>E59+L59+IF($A60=DATE(2026,6,1),5000,0)-IF($A60=DATE(2026,6,16),7878.665*'分摊计算'!$C$5,0)-IF($A60=DATE(2026,6,17),7878.665*'分摊计算'!$C$5,0)</x:f>
        <x:v>1317.2140197813897</x:v>
      </x:c>
      <x:c r="F60" s="19" t="n">
        <x:f>F59+M59+IF($A60=DATE(2026,6,1),7000,0)-IF($A60=DATE(2026,6,16),7878.665*'分摊计算'!$C$6,0)-IF($A60=DATE(2026,6,17),7878.665*'分摊计算'!$C$6,0)</x:f>
        <x:v>1844.0996276939454</x:v>
      </x:c>
      <x:c r="G60" s="19" t="n">
        <x:f>G59+O59+IF($A60=DATE(2026,6,1),1500,0)</x:f>
        <x:v>1430.926467891628</x:v>
      </x:c>
      <x:c r="H60" s="19" t="n">
        <x:f>H59+N59+IF($A60=DATE(2026,6,15),6000,0)-IF($A60=DATE(2026,6,16),6000,0)+IF($A60=DATE(2026,6,16),10000,0)-IF($A60=DATE(2026,6,17),3300,0)-IF($A60=DATE(2026,6,22),5000,0)</x:f>
        <x:v>3071.958050211922</x:v>
      </x:c>
      <x:c r="I60" s="19" t="n">
        <x:f>I59+P59+IF($A60=DATE(2026,6,17),9000,0)+IF($A60=DATE(2026,6,22),1000,0)</x:f>
        <x:v>11087.716883857707</x:v>
      </x:c>
      <x:c r="J60" s="19" t="n">
        <x:f>SUM(D60:I60)</x:f>
        <x:v>22476.04</x:v>
      </x:c>
      <x:c r="K60" s="19" t="n">
        <x:f>IFERROR($B60*D60/$J60,0)</x:f>
        <x:v>0</x:v>
      </x:c>
      <x:c r="L60" s="19" t="n">
        <x:f>IFERROR($B60*E60/$J60,0)</x:f>
        <x:v>0</x:v>
      </x:c>
      <x:c r="M60" s="19" t="n">
        <x:f>IFERROR($B60*F60/$J60,0)</x:f>
        <x:v>0</x:v>
      </x:c>
      <x:c r="N60" s="19" t="n">
        <x:f>IFERROR($B60*H60/$J60,0)</x:f>
        <x:v>0</x:v>
      </x:c>
      <x:c r="O60" s="19" t="n">
        <x:f>IFERROR($B60*G60/$J60,0)</x:f>
        <x:v>0</x:v>
      </x:c>
      <x:c r="P60" s="19" t="n">
        <x:f>IFERROR($B60*I60/$J60,0)</x:f>
        <x:v>0</x:v>
      </x:c>
    </x:row>
    <x:row r="61">
      <x:c r="A61" s="24"/>
      <x:c r="B61" s="25"/>
      <x:c r="C61" s="25"/>
      <x:c r="D61" s="19" t="n">
        <x:f>D60+K60+IF($A61=DATE(2026,6,1),14136.37,0)-IF($A61=DATE(2026,6,16),7878.665*'分摊计算'!$C$4,0)-IF($A61=DATE(2026,6,17),7878.665*'分摊计算'!$C$4,0)</x:f>
        <x:v>3724.124950563409</x:v>
      </x:c>
      <x:c r="E61" s="19" t="n">
        <x:f>E60+L60+IF($A61=DATE(2026,6,1),5000,0)-IF($A61=DATE(2026,6,16),7878.665*'分摊计算'!$C$5,0)-IF($A61=DATE(2026,6,17),7878.665*'分摊计算'!$C$5,0)</x:f>
        <x:v>1317.2140197813897</x:v>
      </x:c>
      <x:c r="F61" s="19" t="n">
        <x:f>F60+M60+IF($A61=DATE(2026,6,1),7000,0)-IF($A61=DATE(2026,6,16),7878.665*'分摊计算'!$C$6,0)-IF($A61=DATE(2026,6,17),7878.665*'分摊计算'!$C$6,0)</x:f>
        <x:v>1844.0996276939454</x:v>
      </x:c>
      <x:c r="G61" s="19" t="n">
        <x:f>G60+O60+IF($A61=DATE(2026,6,1),1500,0)</x:f>
        <x:v>1430.926467891628</x:v>
      </x:c>
      <x:c r="H61" s="19" t="n">
        <x:f>H60+N60+IF($A61=DATE(2026,6,15),6000,0)-IF($A61=DATE(2026,6,16),6000,0)+IF($A61=DATE(2026,6,16),10000,0)-IF($A61=DATE(2026,6,17),3300,0)-IF($A61=DATE(2026,6,22),5000,0)</x:f>
        <x:v>3071.958050211922</x:v>
      </x:c>
      <x:c r="I61" s="19" t="n">
        <x:f>I60+P60+IF($A61=DATE(2026,6,17),9000,0)+IF($A61=DATE(2026,6,22),1000,0)</x:f>
        <x:v>11087.716883857707</x:v>
      </x:c>
      <x:c r="J61" s="19" t="n">
        <x:f>SUM(D61:I61)</x:f>
        <x:v>22476.04</x:v>
      </x:c>
      <x:c r="K61" s="19" t="n">
        <x:f>IFERROR($B61*D61/$J61,0)</x:f>
        <x:v>0</x:v>
      </x:c>
      <x:c r="L61" s="19" t="n">
        <x:f>IFERROR($B61*E61/$J61,0)</x:f>
        <x:v>0</x:v>
      </x:c>
      <x:c r="M61" s="19" t="n">
        <x:f>IFERROR($B61*F61/$J61,0)</x:f>
        <x:v>0</x:v>
      </x:c>
      <x:c r="N61" s="19" t="n">
        <x:f>IFERROR($B61*H61/$J61,0)</x:f>
        <x:v>0</x:v>
      </x:c>
      <x:c r="O61" s="19" t="n">
        <x:f>IFERROR($B61*G61/$J61,0)</x:f>
        <x:v>0</x:v>
      </x:c>
      <x:c r="P61" s="19" t="n">
        <x:f>IFERROR($B61*I61/$J61,0)</x:f>
        <x:v>0</x:v>
      </x:c>
    </x:row>
    <x:row r="62">
      <x:c r="A62" s="24"/>
      <x:c r="B62" s="25"/>
      <x:c r="C62" s="25"/>
      <x:c r="D62" s="19" t="n">
        <x:f>D61+K61+IF($A62=DATE(2026,6,1),14136.37,0)-IF($A62=DATE(2026,6,16),7878.665*'分摊计算'!$C$4,0)-IF($A62=DATE(2026,6,17),7878.665*'分摊计算'!$C$4,0)</x:f>
        <x:v>3724.124950563409</x:v>
      </x:c>
      <x:c r="E62" s="19" t="n">
        <x:f>E61+L61+IF($A62=DATE(2026,6,1),5000,0)-IF($A62=DATE(2026,6,16),7878.665*'分摊计算'!$C$5,0)-IF($A62=DATE(2026,6,17),7878.665*'分摊计算'!$C$5,0)</x:f>
        <x:v>1317.2140197813897</x:v>
      </x:c>
      <x:c r="F62" s="19" t="n">
        <x:f>F61+M61+IF($A62=DATE(2026,6,1),7000,0)-IF($A62=DATE(2026,6,16),7878.665*'分摊计算'!$C$6,0)-IF($A62=DATE(2026,6,17),7878.665*'分摊计算'!$C$6,0)</x:f>
        <x:v>1844.0996276939454</x:v>
      </x:c>
      <x:c r="G62" s="19" t="n">
        <x:f>G61+O61+IF($A62=DATE(2026,6,1),1500,0)</x:f>
        <x:v>1430.926467891628</x:v>
      </x:c>
      <x:c r="H62" s="19" t="n">
        <x:f>H61+N61+IF($A62=DATE(2026,6,15),6000,0)-IF($A62=DATE(2026,6,16),6000,0)+IF($A62=DATE(2026,6,16),10000,0)-IF($A62=DATE(2026,6,17),3300,0)-IF($A62=DATE(2026,6,22),5000,0)</x:f>
        <x:v>3071.958050211922</x:v>
      </x:c>
      <x:c r="I62" s="19" t="n">
        <x:f>I61+P61+IF($A62=DATE(2026,6,17),9000,0)+IF($A62=DATE(2026,6,22),1000,0)</x:f>
        <x:v>11087.716883857707</x:v>
      </x:c>
      <x:c r="J62" s="19" t="n">
        <x:f>SUM(D62:I62)</x:f>
        <x:v>22476.04</x:v>
      </x:c>
      <x:c r="K62" s="19" t="n">
        <x:f>IFERROR($B62*D62/$J62,0)</x:f>
        <x:v>0</x:v>
      </x:c>
      <x:c r="L62" s="19" t="n">
        <x:f>IFERROR($B62*E62/$J62,0)</x:f>
        <x:v>0</x:v>
      </x:c>
      <x:c r="M62" s="19" t="n">
        <x:f>IFERROR($B62*F62/$J62,0)</x:f>
        <x:v>0</x:v>
      </x:c>
      <x:c r="N62" s="19" t="n">
        <x:f>IFERROR($B62*H62/$J62,0)</x:f>
        <x:v>0</x:v>
      </x:c>
      <x:c r="O62" s="19" t="n">
        <x:f>IFERROR($B62*G62/$J62,0)</x:f>
        <x:v>0</x:v>
      </x:c>
      <x:c r="P62" s="19" t="n">
        <x:f>IFERROR($B62*I62/$J62,0)</x:f>
        <x:v>0</x:v>
      </x:c>
    </x:row>
    <x:row r="63">
      <x:c r="A63" s="24"/>
      <x:c r="B63" s="25"/>
      <x:c r="C63" s="25"/>
      <x:c r="D63" s="19" t="n">
        <x:f>D62+K62+IF($A63=DATE(2026,6,1),14136.37,0)-IF($A63=DATE(2026,6,16),7878.665*'分摊计算'!$C$4,0)-IF($A63=DATE(2026,6,17),7878.665*'分摊计算'!$C$4,0)</x:f>
        <x:v>3724.124950563409</x:v>
      </x:c>
      <x:c r="E63" s="19" t="n">
        <x:f>E62+L62+IF($A63=DATE(2026,6,1),5000,0)-IF($A63=DATE(2026,6,16),7878.665*'分摊计算'!$C$5,0)-IF($A63=DATE(2026,6,17),7878.665*'分摊计算'!$C$5,0)</x:f>
        <x:v>1317.2140197813897</x:v>
      </x:c>
      <x:c r="F63" s="19" t="n">
        <x:f>F62+M62+IF($A63=DATE(2026,6,1),7000,0)-IF($A63=DATE(2026,6,16),7878.665*'分摊计算'!$C$6,0)-IF($A63=DATE(2026,6,17),7878.665*'分摊计算'!$C$6,0)</x:f>
        <x:v>1844.0996276939454</x:v>
      </x:c>
      <x:c r="G63" s="19" t="n">
        <x:f>G62+O62+IF($A63=DATE(2026,6,1),1500,0)</x:f>
        <x:v>1430.926467891628</x:v>
      </x:c>
      <x:c r="H63" s="19" t="n">
        <x:f>H62+N62+IF($A63=DATE(2026,6,15),6000,0)-IF($A63=DATE(2026,6,16),6000,0)+IF($A63=DATE(2026,6,16),10000,0)-IF($A63=DATE(2026,6,17),3300,0)-IF($A63=DATE(2026,6,22),5000,0)</x:f>
        <x:v>3071.958050211922</x:v>
      </x:c>
      <x:c r="I63" s="19" t="n">
        <x:f>I62+P62+IF($A63=DATE(2026,6,17),9000,0)+IF($A63=DATE(2026,6,22),1000,0)</x:f>
        <x:v>11087.716883857707</x:v>
      </x:c>
      <x:c r="J63" s="19" t="n">
        <x:f>SUM(D63:I63)</x:f>
        <x:v>22476.04</x:v>
      </x:c>
      <x:c r="K63" s="19" t="n">
        <x:f>IFERROR($B63*D63/$J63,0)</x:f>
        <x:v>0</x:v>
      </x:c>
      <x:c r="L63" s="19" t="n">
        <x:f>IFERROR($B63*E63/$J63,0)</x:f>
        <x:v>0</x:v>
      </x:c>
      <x:c r="M63" s="19" t="n">
        <x:f>IFERROR($B63*F63/$J63,0)</x:f>
        <x:v>0</x:v>
      </x:c>
      <x:c r="N63" s="19" t="n">
        <x:f>IFERROR($B63*H63/$J63,0)</x:f>
        <x:v>0</x:v>
      </x:c>
      <x:c r="O63" s="19" t="n">
        <x:f>IFERROR($B63*G63/$J63,0)</x:f>
        <x:v>0</x:v>
      </x:c>
      <x:c r="P63" s="19" t="n">
        <x:f>IFERROR($B63*I63/$J63,0)</x:f>
        <x:v>0</x:v>
      </x:c>
    </x:row>
    <x:row r="64">
      <x:c r="A64" s="24"/>
      <x:c r="B64" s="25"/>
      <x:c r="C64" s="25"/>
      <x:c r="D64" s="19" t="n">
        <x:f>D63+K63+IF($A64=DATE(2026,6,1),14136.37,0)-IF($A64=DATE(2026,6,16),7878.665*'分摊计算'!$C$4,0)-IF($A64=DATE(2026,6,17),7878.665*'分摊计算'!$C$4,0)</x:f>
        <x:v>3724.124950563409</x:v>
      </x:c>
      <x:c r="E64" s="19" t="n">
        <x:f>E63+L63+IF($A64=DATE(2026,6,1),5000,0)-IF($A64=DATE(2026,6,16),7878.665*'分摊计算'!$C$5,0)-IF($A64=DATE(2026,6,17),7878.665*'分摊计算'!$C$5,0)</x:f>
        <x:v>1317.2140197813897</x:v>
      </x:c>
      <x:c r="F64" s="19" t="n">
        <x:f>F63+M63+IF($A64=DATE(2026,6,1),7000,0)-IF($A64=DATE(2026,6,16),7878.665*'分摊计算'!$C$6,0)-IF($A64=DATE(2026,6,17),7878.665*'分摊计算'!$C$6,0)</x:f>
        <x:v>1844.0996276939454</x:v>
      </x:c>
      <x:c r="G64" s="19" t="n">
        <x:f>G63+O63+IF($A64=DATE(2026,6,1),1500,0)</x:f>
        <x:v>1430.926467891628</x:v>
      </x:c>
      <x:c r="H64" s="19" t="n">
        <x:f>H63+N63+IF($A64=DATE(2026,6,15),6000,0)-IF($A64=DATE(2026,6,16),6000,0)+IF($A64=DATE(2026,6,16),10000,0)-IF($A64=DATE(2026,6,17),3300,0)-IF($A64=DATE(2026,6,22),5000,0)</x:f>
        <x:v>3071.958050211922</x:v>
      </x:c>
      <x:c r="I64" s="19" t="n">
        <x:f>I63+P63+IF($A64=DATE(2026,6,17),9000,0)+IF($A64=DATE(2026,6,22),1000,0)</x:f>
        <x:v>11087.716883857707</x:v>
      </x:c>
      <x:c r="J64" s="19" t="n">
        <x:f>SUM(D64:I64)</x:f>
        <x:v>22476.04</x:v>
      </x:c>
      <x:c r="K64" s="19" t="n">
        <x:f>IFERROR($B64*D64/$J64,0)</x:f>
        <x:v>0</x:v>
      </x:c>
      <x:c r="L64" s="19" t="n">
        <x:f>IFERROR($B64*E64/$J64,0)</x:f>
        <x:v>0</x:v>
      </x:c>
      <x:c r="M64" s="19" t="n">
        <x:f>IFERROR($B64*F64/$J64,0)</x:f>
        <x:v>0</x:v>
      </x:c>
      <x:c r="N64" s="19" t="n">
        <x:f>IFERROR($B64*H64/$J64,0)</x:f>
        <x:v>0</x:v>
      </x:c>
      <x:c r="O64" s="19" t="n">
        <x:f>IFERROR($B64*G64/$J64,0)</x:f>
        <x:v>0</x:v>
      </x:c>
      <x:c r="P64" s="19" t="n">
        <x:f>IFERROR($B64*I64/$J64,0)</x:f>
        <x:v>0</x:v>
      </x:c>
    </x:row>
    <x:row r="65">
      <x:c r="A65" s="24"/>
      <x:c r="B65" s="25"/>
      <x:c r="C65" s="25"/>
      <x:c r="D65" s="19" t="n">
        <x:f>D64+K64+IF($A65=DATE(2026,6,1),14136.37,0)-IF($A65=DATE(2026,6,16),7878.665*'分摊计算'!$C$4,0)-IF($A65=DATE(2026,6,17),7878.665*'分摊计算'!$C$4,0)</x:f>
        <x:v>3724.124950563409</x:v>
      </x:c>
      <x:c r="E65" s="19" t="n">
        <x:f>E64+L64+IF($A65=DATE(2026,6,1),5000,0)-IF($A65=DATE(2026,6,16),7878.665*'分摊计算'!$C$5,0)-IF($A65=DATE(2026,6,17),7878.665*'分摊计算'!$C$5,0)</x:f>
        <x:v>1317.2140197813897</x:v>
      </x:c>
      <x:c r="F65" s="19" t="n">
        <x:f>F64+M64+IF($A65=DATE(2026,6,1),7000,0)-IF($A65=DATE(2026,6,16),7878.665*'分摊计算'!$C$6,0)-IF($A65=DATE(2026,6,17),7878.665*'分摊计算'!$C$6,0)</x:f>
        <x:v>1844.0996276939454</x:v>
      </x:c>
      <x:c r="G65" s="19" t="n">
        <x:f>G64+O64+IF($A65=DATE(2026,6,1),1500,0)</x:f>
        <x:v>1430.926467891628</x:v>
      </x:c>
      <x:c r="H65" s="19" t="n">
        <x:f>H64+N64+IF($A65=DATE(2026,6,15),6000,0)-IF($A65=DATE(2026,6,16),6000,0)+IF($A65=DATE(2026,6,16),10000,0)-IF($A65=DATE(2026,6,17),3300,0)-IF($A65=DATE(2026,6,22),5000,0)</x:f>
        <x:v>3071.958050211922</x:v>
      </x:c>
      <x:c r="I65" s="19" t="n">
        <x:f>I64+P64+IF($A65=DATE(2026,6,17),9000,0)+IF($A65=DATE(2026,6,22),1000,0)</x:f>
        <x:v>11087.716883857707</x:v>
      </x:c>
      <x:c r="J65" s="19" t="n">
        <x:f>SUM(D65:I65)</x:f>
        <x:v>22476.04</x:v>
      </x:c>
      <x:c r="K65" s="19" t="n">
        <x:f>IFERROR($B65*D65/$J65,0)</x:f>
        <x:v>0</x:v>
      </x:c>
      <x:c r="L65" s="19" t="n">
        <x:f>IFERROR($B65*E65/$J65,0)</x:f>
        <x:v>0</x:v>
      </x:c>
      <x:c r="M65" s="19" t="n">
        <x:f>IFERROR($B65*F65/$J65,0)</x:f>
        <x:v>0</x:v>
      </x:c>
      <x:c r="N65" s="19" t="n">
        <x:f>IFERROR($B65*H65/$J65,0)</x:f>
        <x:v>0</x:v>
      </x:c>
      <x:c r="O65" s="19" t="n">
        <x:f>IFERROR($B65*G65/$J65,0)</x:f>
        <x:v>0</x:v>
      </x:c>
      <x:c r="P65" s="19" t="n">
        <x:f>IFERROR($B65*I65/$J65,0)</x:f>
        <x:v>0</x:v>
      </x:c>
    </x:row>
    <x:row r="66">
      <x:c r="A66" s="24"/>
      <x:c r="B66" s="25"/>
      <x:c r="C66" s="25"/>
      <x:c r="D66" s="19" t="n">
        <x:f>D65+K65+IF($A66=DATE(2026,6,1),14136.37,0)-IF($A66=DATE(2026,6,16),7878.665*'分摊计算'!$C$4,0)-IF($A66=DATE(2026,6,17),7878.665*'分摊计算'!$C$4,0)</x:f>
        <x:v>3724.124950563409</x:v>
      </x:c>
      <x:c r="E66" s="19" t="n">
        <x:f>E65+L65+IF($A66=DATE(2026,6,1),5000,0)-IF($A66=DATE(2026,6,16),7878.665*'分摊计算'!$C$5,0)-IF($A66=DATE(2026,6,17),7878.665*'分摊计算'!$C$5,0)</x:f>
        <x:v>1317.2140197813897</x:v>
      </x:c>
      <x:c r="F66" s="19" t="n">
        <x:f>F65+M65+IF($A66=DATE(2026,6,1),7000,0)-IF($A66=DATE(2026,6,16),7878.665*'分摊计算'!$C$6,0)-IF($A66=DATE(2026,6,17),7878.665*'分摊计算'!$C$6,0)</x:f>
        <x:v>1844.0996276939454</x:v>
      </x:c>
      <x:c r="G66" s="19" t="n">
        <x:f>G65+O65+IF($A66=DATE(2026,6,1),1500,0)</x:f>
        <x:v>1430.926467891628</x:v>
      </x:c>
      <x:c r="H66" s="19" t="n">
        <x:f>H65+N65+IF($A66=DATE(2026,6,15),6000,0)-IF($A66=DATE(2026,6,16),6000,0)+IF($A66=DATE(2026,6,16),10000,0)-IF($A66=DATE(2026,6,17),3300,0)-IF($A66=DATE(2026,6,22),5000,0)</x:f>
        <x:v>3071.958050211922</x:v>
      </x:c>
      <x:c r="I66" s="19" t="n">
        <x:f>I65+P65+IF($A66=DATE(2026,6,17),9000,0)+IF($A66=DATE(2026,6,22),1000,0)</x:f>
        <x:v>11087.716883857707</x:v>
      </x:c>
      <x:c r="J66" s="19" t="n">
        <x:f>SUM(D66:I66)</x:f>
        <x:v>22476.04</x:v>
      </x:c>
      <x:c r="K66" s="19" t="n">
        <x:f>IFERROR($B66*D66/$J66,0)</x:f>
        <x:v>0</x:v>
      </x:c>
      <x:c r="L66" s="19" t="n">
        <x:f>IFERROR($B66*E66/$J66,0)</x:f>
        <x:v>0</x:v>
      </x:c>
      <x:c r="M66" s="19" t="n">
        <x:f>IFERROR($B66*F66/$J66,0)</x:f>
        <x:v>0</x:v>
      </x:c>
      <x:c r="N66" s="19" t="n">
        <x:f>IFERROR($B66*H66/$J66,0)</x:f>
        <x:v>0</x:v>
      </x:c>
      <x:c r="O66" s="19" t="n">
        <x:f>IFERROR($B66*G66/$J66,0)</x:f>
        <x:v>0</x:v>
      </x:c>
      <x:c r="P66" s="19" t="n">
        <x:f>IFERROR($B66*I66/$J66,0)</x:f>
        <x:v>0</x:v>
      </x:c>
    </x:row>
    <x:row r="67">
      <x:c r="A67" s="24"/>
      <x:c r="B67" s="25"/>
      <x:c r="C67" s="25"/>
      <x:c r="D67" s="19" t="n">
        <x:f>D66+K66+IF($A67=DATE(2026,6,1),14136.37,0)-IF($A67=DATE(2026,6,16),7878.665*'分摊计算'!$C$4,0)-IF($A67=DATE(2026,6,17),7878.665*'分摊计算'!$C$4,0)</x:f>
        <x:v>3724.124950563409</x:v>
      </x:c>
      <x:c r="E67" s="19" t="n">
        <x:f>E66+L66+IF($A67=DATE(2026,6,1),5000,0)-IF($A67=DATE(2026,6,16),7878.665*'分摊计算'!$C$5,0)-IF($A67=DATE(2026,6,17),7878.665*'分摊计算'!$C$5,0)</x:f>
        <x:v>1317.2140197813897</x:v>
      </x:c>
      <x:c r="F67" s="19" t="n">
        <x:f>F66+M66+IF($A67=DATE(2026,6,1),7000,0)-IF($A67=DATE(2026,6,16),7878.665*'分摊计算'!$C$6,0)-IF($A67=DATE(2026,6,17),7878.665*'分摊计算'!$C$6,0)</x:f>
        <x:v>1844.0996276939454</x:v>
      </x:c>
      <x:c r="G67" s="19" t="n">
        <x:f>G66+O66+IF($A67=DATE(2026,6,1),1500,0)</x:f>
        <x:v>1430.926467891628</x:v>
      </x:c>
      <x:c r="H67" s="19" t="n">
        <x:f>H66+N66+IF($A67=DATE(2026,6,15),6000,0)-IF($A67=DATE(2026,6,16),6000,0)+IF($A67=DATE(2026,6,16),10000,0)-IF($A67=DATE(2026,6,17),3300,0)-IF($A67=DATE(2026,6,22),5000,0)</x:f>
        <x:v>3071.958050211922</x:v>
      </x:c>
      <x:c r="I67" s="19" t="n">
        <x:f>I66+P66+IF($A67=DATE(2026,6,17),9000,0)+IF($A67=DATE(2026,6,22),1000,0)</x:f>
        <x:v>11087.716883857707</x:v>
      </x:c>
      <x:c r="J67" s="19" t="n">
        <x:f>SUM(D67:I67)</x:f>
        <x:v>22476.04</x:v>
      </x:c>
      <x:c r="K67" s="19" t="n">
        <x:f>IFERROR($B67*D67/$J67,0)</x:f>
        <x:v>0</x:v>
      </x:c>
      <x:c r="L67" s="19" t="n">
        <x:f>IFERROR($B67*E67/$J67,0)</x:f>
        <x:v>0</x:v>
      </x:c>
      <x:c r="M67" s="19" t="n">
        <x:f>IFERROR($B67*F67/$J67,0)</x:f>
        <x:v>0</x:v>
      </x:c>
      <x:c r="N67" s="19" t="n">
        <x:f>IFERROR($B67*H67/$J67,0)</x:f>
        <x:v>0</x:v>
      </x:c>
      <x:c r="O67" s="19" t="n">
        <x:f>IFERROR($B67*G67/$J67,0)</x:f>
        <x:v>0</x:v>
      </x:c>
      <x:c r="P67" s="19" t="n">
        <x:f>IFERROR($B67*I67/$J67,0)</x:f>
        <x:v>0</x:v>
      </x:c>
    </x:row>
    <x:row r="68">
      <x:c r="A68" s="24"/>
      <x:c r="B68" s="25"/>
      <x:c r="C68" s="25"/>
      <x:c r="D68" s="19" t="n">
        <x:f>D67+K67+IF($A68=DATE(2026,6,1),14136.37,0)-IF($A68=DATE(2026,6,16),7878.665*'分摊计算'!$C$4,0)-IF($A68=DATE(2026,6,17),7878.665*'分摊计算'!$C$4,0)</x:f>
        <x:v>3724.124950563409</x:v>
      </x:c>
      <x:c r="E68" s="19" t="n">
        <x:f>E67+L67+IF($A68=DATE(2026,6,1),5000,0)-IF($A68=DATE(2026,6,16),7878.665*'分摊计算'!$C$5,0)-IF($A68=DATE(2026,6,17),7878.665*'分摊计算'!$C$5,0)</x:f>
        <x:v>1317.2140197813897</x:v>
      </x:c>
      <x:c r="F68" s="19" t="n">
        <x:f>F67+M67+IF($A68=DATE(2026,6,1),7000,0)-IF($A68=DATE(2026,6,16),7878.665*'分摊计算'!$C$6,0)-IF($A68=DATE(2026,6,17),7878.665*'分摊计算'!$C$6,0)</x:f>
        <x:v>1844.0996276939454</x:v>
      </x:c>
      <x:c r="G68" s="19" t="n">
        <x:f>G67+O67+IF($A68=DATE(2026,6,1),1500,0)</x:f>
        <x:v>1430.926467891628</x:v>
      </x:c>
      <x:c r="H68" s="19" t="n">
        <x:f>H67+N67+IF($A68=DATE(2026,6,15),6000,0)-IF($A68=DATE(2026,6,16),6000,0)+IF($A68=DATE(2026,6,16),10000,0)-IF($A68=DATE(2026,6,17),3300,0)-IF($A68=DATE(2026,6,22),5000,0)</x:f>
        <x:v>3071.958050211922</x:v>
      </x:c>
      <x:c r="I68" s="19" t="n">
        <x:f>I67+P67+IF($A68=DATE(2026,6,17),9000,0)+IF($A68=DATE(2026,6,22),1000,0)</x:f>
        <x:v>11087.716883857707</x:v>
      </x:c>
      <x:c r="J68" s="19" t="n">
        <x:f>SUM(D68:I68)</x:f>
        <x:v>22476.04</x:v>
      </x:c>
      <x:c r="K68" s="19" t="n">
        <x:f>IFERROR($B68*D68/$J68,0)</x:f>
        <x:v>0</x:v>
      </x:c>
      <x:c r="L68" s="19" t="n">
        <x:f>IFERROR($B68*E68/$J68,0)</x:f>
        <x:v>0</x:v>
      </x:c>
      <x:c r="M68" s="19" t="n">
        <x:f>IFERROR($B68*F68/$J68,0)</x:f>
        <x:v>0</x:v>
      </x:c>
      <x:c r="N68" s="19" t="n">
        <x:f>IFERROR($B68*H68/$J68,0)</x:f>
        <x:v>0</x:v>
      </x:c>
      <x:c r="O68" s="19" t="n">
        <x:f>IFERROR($B68*G68/$J68,0)</x:f>
        <x:v>0</x:v>
      </x:c>
      <x:c r="P68" s="19" t="n">
        <x:f>IFERROR($B68*I68/$J68,0)</x:f>
        <x:v>0</x:v>
      </x:c>
    </x:row>
    <x:row r="69">
      <x:c r="A69" s="24"/>
      <x:c r="B69" s="25"/>
      <x:c r="C69" s="25"/>
      <x:c r="D69" s="19" t="n">
        <x:f>D68+K68+IF($A69=DATE(2026,6,1),14136.37,0)-IF($A69=DATE(2026,6,16),7878.665*'分摊计算'!$C$4,0)-IF($A69=DATE(2026,6,17),7878.665*'分摊计算'!$C$4,0)</x:f>
        <x:v>3724.124950563409</x:v>
      </x:c>
      <x:c r="E69" s="19" t="n">
        <x:f>E68+L68+IF($A69=DATE(2026,6,1),5000,0)-IF($A69=DATE(2026,6,16),7878.665*'分摊计算'!$C$5,0)-IF($A69=DATE(2026,6,17),7878.665*'分摊计算'!$C$5,0)</x:f>
        <x:v>1317.2140197813897</x:v>
      </x:c>
      <x:c r="F69" s="19" t="n">
        <x:f>F68+M68+IF($A69=DATE(2026,6,1),7000,0)-IF($A69=DATE(2026,6,16),7878.665*'分摊计算'!$C$6,0)-IF($A69=DATE(2026,6,17),7878.665*'分摊计算'!$C$6,0)</x:f>
        <x:v>1844.0996276939454</x:v>
      </x:c>
      <x:c r="G69" s="19" t="n">
        <x:f>G68+O68+IF($A69=DATE(2026,6,1),1500,0)</x:f>
        <x:v>1430.926467891628</x:v>
      </x:c>
      <x:c r="H69" s="19" t="n">
        <x:f>H68+N68+IF($A69=DATE(2026,6,15),6000,0)-IF($A69=DATE(2026,6,16),6000,0)+IF($A69=DATE(2026,6,16),10000,0)-IF($A69=DATE(2026,6,17),3300,0)-IF($A69=DATE(2026,6,22),5000,0)</x:f>
        <x:v>3071.958050211922</x:v>
      </x:c>
      <x:c r="I69" s="19" t="n">
        <x:f>I68+P68+IF($A69=DATE(2026,6,17),9000,0)+IF($A69=DATE(2026,6,22),1000,0)</x:f>
        <x:v>11087.716883857707</x:v>
      </x:c>
      <x:c r="J69" s="19" t="n">
        <x:f>SUM(D69:I69)</x:f>
        <x:v>22476.04</x:v>
      </x:c>
      <x:c r="K69" s="19" t="n">
        <x:f>IFERROR($B69*D69/$J69,0)</x:f>
        <x:v>0</x:v>
      </x:c>
      <x:c r="L69" s="19" t="n">
        <x:f>IFERROR($B69*E69/$J69,0)</x:f>
        <x:v>0</x:v>
      </x:c>
      <x:c r="M69" s="19" t="n">
        <x:f>IFERROR($B69*F69/$J69,0)</x:f>
        <x:v>0</x:v>
      </x:c>
      <x:c r="N69" s="19" t="n">
        <x:f>IFERROR($B69*H69/$J69,0)</x:f>
        <x:v>0</x:v>
      </x:c>
      <x:c r="O69" s="19" t="n">
        <x:f>IFERROR($B69*G69/$J69,0)</x:f>
        <x:v>0</x:v>
      </x:c>
      <x:c r="P69" s="19" t="n">
        <x:f>IFERROR($B69*I69/$J69,0)</x:f>
        <x:v>0</x:v>
      </x:c>
    </x:row>
    <x:row r="70">
      <x:c r="A70" s="24"/>
      <x:c r="B70" s="25"/>
      <x:c r="C70" s="25"/>
      <x:c r="D70" s="19" t="n">
        <x:f>D69+K69+IF($A70=DATE(2026,6,1),14136.37,0)-IF($A70=DATE(2026,6,16),7878.665*'分摊计算'!$C$4,0)-IF($A70=DATE(2026,6,17),7878.665*'分摊计算'!$C$4,0)</x:f>
        <x:v>3724.124950563409</x:v>
      </x:c>
      <x:c r="E70" s="19" t="n">
        <x:f>E69+L69+IF($A70=DATE(2026,6,1),5000,0)-IF($A70=DATE(2026,6,16),7878.665*'分摊计算'!$C$5,0)-IF($A70=DATE(2026,6,17),7878.665*'分摊计算'!$C$5,0)</x:f>
        <x:v>1317.2140197813897</x:v>
      </x:c>
      <x:c r="F70" s="19" t="n">
        <x:f>F69+M69+IF($A70=DATE(2026,6,1),7000,0)-IF($A70=DATE(2026,6,16),7878.665*'分摊计算'!$C$6,0)-IF($A70=DATE(2026,6,17),7878.665*'分摊计算'!$C$6,0)</x:f>
        <x:v>1844.0996276939454</x:v>
      </x:c>
      <x:c r="G70" s="19" t="n">
        <x:f>G69+O69+IF($A70=DATE(2026,6,1),1500,0)</x:f>
        <x:v>1430.926467891628</x:v>
      </x:c>
      <x:c r="H70" s="19" t="n">
        <x:f>H69+N69+IF($A70=DATE(2026,6,15),6000,0)-IF($A70=DATE(2026,6,16),6000,0)+IF($A70=DATE(2026,6,16),10000,0)-IF($A70=DATE(2026,6,17),3300,0)-IF($A70=DATE(2026,6,22),5000,0)</x:f>
        <x:v>3071.958050211922</x:v>
      </x:c>
      <x:c r="I70" s="19" t="n">
        <x:f>I69+P69+IF($A70=DATE(2026,6,17),9000,0)+IF($A70=DATE(2026,6,22),1000,0)</x:f>
        <x:v>11087.716883857707</x:v>
      </x:c>
      <x:c r="J70" s="19" t="n">
        <x:f>SUM(D70:I70)</x:f>
        <x:v>22476.04</x:v>
      </x:c>
      <x:c r="K70" s="19" t="n">
        <x:f>IFERROR($B70*D70/$J70,0)</x:f>
        <x:v>0</x:v>
      </x:c>
      <x:c r="L70" s="19" t="n">
        <x:f>IFERROR($B70*E70/$J70,0)</x:f>
        <x:v>0</x:v>
      </x:c>
      <x:c r="M70" s="19" t="n">
        <x:f>IFERROR($B70*F70/$J70,0)</x:f>
        <x:v>0</x:v>
      </x:c>
      <x:c r="N70" s="19" t="n">
        <x:f>IFERROR($B70*H70/$J70,0)</x:f>
        <x:v>0</x:v>
      </x:c>
      <x:c r="O70" s="19" t="n">
        <x:f>IFERROR($B70*G70/$J70,0)</x:f>
        <x:v>0</x:v>
      </x:c>
      <x:c r="P70" s="19" t="n">
        <x:f>IFERROR($B70*I70/$J70,0)</x:f>
        <x:v>0</x:v>
      </x:c>
    </x:row>
    <x:row r="71">
      <x:c r="A71" s="24"/>
      <x:c r="B71" s="25"/>
      <x:c r="C71" s="25"/>
      <x:c r="D71" s="19" t="n">
        <x:f>D70+K70+IF($A71=DATE(2026,6,1),14136.37,0)-IF($A71=DATE(2026,6,16),7878.665*'分摊计算'!$C$4,0)-IF($A71=DATE(2026,6,17),7878.665*'分摊计算'!$C$4,0)</x:f>
        <x:v>3724.124950563409</x:v>
      </x:c>
      <x:c r="E71" s="19" t="n">
        <x:f>E70+L70+IF($A71=DATE(2026,6,1),5000,0)-IF($A71=DATE(2026,6,16),7878.665*'分摊计算'!$C$5,0)-IF($A71=DATE(2026,6,17),7878.665*'分摊计算'!$C$5,0)</x:f>
        <x:v>1317.2140197813897</x:v>
      </x:c>
      <x:c r="F71" s="19" t="n">
        <x:f>F70+M70+IF($A71=DATE(2026,6,1),7000,0)-IF($A71=DATE(2026,6,16),7878.665*'分摊计算'!$C$6,0)-IF($A71=DATE(2026,6,17),7878.665*'分摊计算'!$C$6,0)</x:f>
        <x:v>1844.0996276939454</x:v>
      </x:c>
      <x:c r="G71" s="19" t="n">
        <x:f>G70+O70+IF($A71=DATE(2026,6,1),1500,0)</x:f>
        <x:v>1430.926467891628</x:v>
      </x:c>
      <x:c r="H71" s="19" t="n">
        <x:f>H70+N70+IF($A71=DATE(2026,6,15),6000,0)-IF($A71=DATE(2026,6,16),6000,0)+IF($A71=DATE(2026,6,16),10000,0)-IF($A71=DATE(2026,6,17),3300,0)-IF($A71=DATE(2026,6,22),5000,0)</x:f>
        <x:v>3071.958050211922</x:v>
      </x:c>
      <x:c r="I71" s="19" t="n">
        <x:f>I70+P70+IF($A71=DATE(2026,6,17),9000,0)+IF($A71=DATE(2026,6,22),1000,0)</x:f>
        <x:v>11087.716883857707</x:v>
      </x:c>
      <x:c r="J71" s="19" t="n">
        <x:f>SUM(D71:I71)</x:f>
        <x:v>22476.04</x:v>
      </x:c>
      <x:c r="K71" s="19" t="n">
        <x:f>IFERROR($B71*D71/$J71,0)</x:f>
        <x:v>0</x:v>
      </x:c>
      <x:c r="L71" s="19" t="n">
        <x:f>IFERROR($B71*E71/$J71,0)</x:f>
        <x:v>0</x:v>
      </x:c>
      <x:c r="M71" s="19" t="n">
        <x:f>IFERROR($B71*F71/$J71,0)</x:f>
        <x:v>0</x:v>
      </x:c>
      <x:c r="N71" s="19" t="n">
        <x:f>IFERROR($B71*H71/$J71,0)</x:f>
        <x:v>0</x:v>
      </x:c>
      <x:c r="O71" s="19" t="n">
        <x:f>IFERROR($B71*G71/$J71,0)</x:f>
        <x:v>0</x:v>
      </x:c>
      <x:c r="P71" s="19" t="n">
        <x:f>IFERROR($B71*I71/$J71,0)</x:f>
        <x:v>0</x:v>
      </x:c>
    </x:row>
    <x:row r="72">
      <x:c r="A72" s="24"/>
      <x:c r="B72" s="25"/>
      <x:c r="C72" s="25"/>
      <x:c r="D72" s="19" t="n">
        <x:f>D71+K71+IF($A72=DATE(2026,6,1),14136.37,0)-IF($A72=DATE(2026,6,16),7878.665*'分摊计算'!$C$4,0)-IF($A72=DATE(2026,6,17),7878.665*'分摊计算'!$C$4,0)</x:f>
        <x:v>3724.124950563409</x:v>
      </x:c>
      <x:c r="E72" s="19" t="n">
        <x:f>E71+L71+IF($A72=DATE(2026,6,1),5000,0)-IF($A72=DATE(2026,6,16),7878.665*'分摊计算'!$C$5,0)-IF($A72=DATE(2026,6,17),7878.665*'分摊计算'!$C$5,0)</x:f>
        <x:v>1317.2140197813897</x:v>
      </x:c>
      <x:c r="F72" s="19" t="n">
        <x:f>F71+M71+IF($A72=DATE(2026,6,1),7000,0)-IF($A72=DATE(2026,6,16),7878.665*'分摊计算'!$C$6,0)-IF($A72=DATE(2026,6,17),7878.665*'分摊计算'!$C$6,0)</x:f>
        <x:v>1844.0996276939454</x:v>
      </x:c>
      <x:c r="G72" s="19" t="n">
        <x:f>G71+O71+IF($A72=DATE(2026,6,1),1500,0)</x:f>
        <x:v>1430.926467891628</x:v>
      </x:c>
      <x:c r="H72" s="19" t="n">
        <x:f>H71+N71+IF($A72=DATE(2026,6,15),6000,0)-IF($A72=DATE(2026,6,16),6000,0)+IF($A72=DATE(2026,6,16),10000,0)-IF($A72=DATE(2026,6,17),3300,0)-IF($A72=DATE(2026,6,22),5000,0)</x:f>
        <x:v>3071.958050211922</x:v>
      </x:c>
      <x:c r="I72" s="19" t="n">
        <x:f>I71+P71+IF($A72=DATE(2026,6,17),9000,0)+IF($A72=DATE(2026,6,22),1000,0)</x:f>
        <x:v>11087.716883857707</x:v>
      </x:c>
      <x:c r="J72" s="19" t="n">
        <x:f>SUM(D72:I72)</x:f>
        <x:v>22476.04</x:v>
      </x:c>
      <x:c r="K72" s="19" t="n">
        <x:f>IFERROR($B72*D72/$J72,0)</x:f>
        <x:v>0</x:v>
      </x:c>
      <x:c r="L72" s="19" t="n">
        <x:f>IFERROR($B72*E72/$J72,0)</x:f>
        <x:v>0</x:v>
      </x:c>
      <x:c r="M72" s="19" t="n">
        <x:f>IFERROR($B72*F72/$J72,0)</x:f>
        <x:v>0</x:v>
      </x:c>
      <x:c r="N72" s="19" t="n">
        <x:f>IFERROR($B72*H72/$J72,0)</x:f>
        <x:v>0</x:v>
      </x:c>
      <x:c r="O72" s="19" t="n">
        <x:f>IFERROR($B72*G72/$J72,0)</x:f>
        <x:v>0</x:v>
      </x:c>
      <x:c r="P72" s="19" t="n">
        <x:f>IFERROR($B72*I72/$J72,0)</x:f>
        <x:v>0</x:v>
      </x:c>
    </x:row>
    <x:row r="73">
      <x:c r="A73" s="24"/>
      <x:c r="B73" s="25"/>
      <x:c r="C73" s="25"/>
      <x:c r="D73" s="19" t="n">
        <x:f>D72+K72+IF($A73=DATE(2026,6,1),14136.37,0)-IF($A73=DATE(2026,6,16),7878.665*'分摊计算'!$C$4,0)-IF($A73=DATE(2026,6,17),7878.665*'分摊计算'!$C$4,0)</x:f>
        <x:v>3724.124950563409</x:v>
      </x:c>
      <x:c r="E73" s="19" t="n">
        <x:f>E72+L72+IF($A73=DATE(2026,6,1),5000,0)-IF($A73=DATE(2026,6,16),7878.665*'分摊计算'!$C$5,0)-IF($A73=DATE(2026,6,17),7878.665*'分摊计算'!$C$5,0)</x:f>
        <x:v>1317.2140197813897</x:v>
      </x:c>
      <x:c r="F73" s="19" t="n">
        <x:f>F72+M72+IF($A73=DATE(2026,6,1),7000,0)-IF($A73=DATE(2026,6,16),7878.665*'分摊计算'!$C$6,0)-IF($A73=DATE(2026,6,17),7878.665*'分摊计算'!$C$6,0)</x:f>
        <x:v>1844.0996276939454</x:v>
      </x:c>
      <x:c r="G73" s="19" t="n">
        <x:f>G72+O72+IF($A73=DATE(2026,6,1),1500,0)</x:f>
        <x:v>1430.926467891628</x:v>
      </x:c>
      <x:c r="H73" s="19" t="n">
        <x:f>H72+N72+IF($A73=DATE(2026,6,15),6000,0)-IF($A73=DATE(2026,6,16),6000,0)+IF($A73=DATE(2026,6,16),10000,0)-IF($A73=DATE(2026,6,17),3300,0)-IF($A73=DATE(2026,6,22),5000,0)</x:f>
        <x:v>3071.958050211922</x:v>
      </x:c>
      <x:c r="I73" s="19" t="n">
        <x:f>I72+P72+IF($A73=DATE(2026,6,17),9000,0)+IF($A73=DATE(2026,6,22),1000,0)</x:f>
        <x:v>11087.716883857707</x:v>
      </x:c>
      <x:c r="J73" s="19" t="n">
        <x:f>SUM(D73:I73)</x:f>
        <x:v>22476.04</x:v>
      </x:c>
      <x:c r="K73" s="19" t="n">
        <x:f>IFERROR($B73*D73/$J73,0)</x:f>
        <x:v>0</x:v>
      </x:c>
      <x:c r="L73" s="19" t="n">
        <x:f>IFERROR($B73*E73/$J73,0)</x:f>
        <x:v>0</x:v>
      </x:c>
      <x:c r="M73" s="19" t="n">
        <x:f>IFERROR($B73*F73/$J73,0)</x:f>
        <x:v>0</x:v>
      </x:c>
      <x:c r="N73" s="19" t="n">
        <x:f>IFERROR($B73*H73/$J73,0)</x:f>
        <x:v>0</x:v>
      </x:c>
      <x:c r="O73" s="19" t="n">
        <x:f>IFERROR($B73*G73/$J73,0)</x:f>
        <x:v>0</x:v>
      </x:c>
      <x:c r="P73" s="19" t="n">
        <x:f>IFERROR($B73*I73/$J73,0)</x:f>
        <x:v>0</x:v>
      </x:c>
    </x:row>
    <x:row r="74">
      <x:c r="A74" s="24"/>
      <x:c r="B74" s="25"/>
      <x:c r="C74" s="25"/>
      <x:c r="D74" s="19" t="n">
        <x:f>D73+K73+IF($A74=DATE(2026,6,1),14136.37,0)-IF($A74=DATE(2026,6,16),7878.665*'分摊计算'!$C$4,0)-IF($A74=DATE(2026,6,17),7878.665*'分摊计算'!$C$4,0)</x:f>
        <x:v>3724.124950563409</x:v>
      </x:c>
      <x:c r="E74" s="19" t="n">
        <x:f>E73+L73+IF($A74=DATE(2026,6,1),5000,0)-IF($A74=DATE(2026,6,16),7878.665*'分摊计算'!$C$5,0)-IF($A74=DATE(2026,6,17),7878.665*'分摊计算'!$C$5,0)</x:f>
        <x:v>1317.2140197813897</x:v>
      </x:c>
      <x:c r="F74" s="19" t="n">
        <x:f>F73+M73+IF($A74=DATE(2026,6,1),7000,0)-IF($A74=DATE(2026,6,16),7878.665*'分摊计算'!$C$6,0)-IF($A74=DATE(2026,6,17),7878.665*'分摊计算'!$C$6,0)</x:f>
        <x:v>1844.0996276939454</x:v>
      </x:c>
      <x:c r="G74" s="19" t="n">
        <x:f>G73+O73+IF($A74=DATE(2026,6,1),1500,0)</x:f>
        <x:v>1430.926467891628</x:v>
      </x:c>
      <x:c r="H74" s="19" t="n">
        <x:f>H73+N73+IF($A74=DATE(2026,6,15),6000,0)-IF($A74=DATE(2026,6,16),6000,0)+IF($A74=DATE(2026,6,16),10000,0)-IF($A74=DATE(2026,6,17),3300,0)-IF($A74=DATE(2026,6,22),5000,0)</x:f>
        <x:v>3071.958050211922</x:v>
      </x:c>
      <x:c r="I74" s="19" t="n">
        <x:f>I73+P73+IF($A74=DATE(2026,6,17),9000,0)+IF($A74=DATE(2026,6,22),1000,0)</x:f>
        <x:v>11087.716883857707</x:v>
      </x:c>
      <x:c r="J74" s="19" t="n">
        <x:f>SUM(D74:I74)</x:f>
        <x:v>22476.04</x:v>
      </x:c>
      <x:c r="K74" s="19" t="n">
        <x:f>IFERROR($B74*D74/$J74,0)</x:f>
        <x:v>0</x:v>
      </x:c>
      <x:c r="L74" s="19" t="n">
        <x:f>IFERROR($B74*E74/$J74,0)</x:f>
        <x:v>0</x:v>
      </x:c>
      <x:c r="M74" s="19" t="n">
        <x:f>IFERROR($B74*F74/$J74,0)</x:f>
        <x:v>0</x:v>
      </x:c>
      <x:c r="N74" s="19" t="n">
        <x:f>IFERROR($B74*H74/$J74,0)</x:f>
        <x:v>0</x:v>
      </x:c>
      <x:c r="O74" s="19" t="n">
        <x:f>IFERROR($B74*G74/$J74,0)</x:f>
        <x:v>0</x:v>
      </x:c>
      <x:c r="P74" s="19" t="n">
        <x:f>IFERROR($B74*I74/$J74,0)</x:f>
        <x:v>0</x:v>
      </x:c>
    </x:row>
    <x:row r="75">
      <x:c r="A75" s="24"/>
      <x:c r="B75" s="25"/>
      <x:c r="C75" s="25"/>
      <x:c r="D75" s="19" t="n">
        <x:f>D74+K74+IF($A75=DATE(2026,6,1),14136.37,0)-IF($A75=DATE(2026,6,16),7878.665*'分摊计算'!$C$4,0)-IF($A75=DATE(2026,6,17),7878.665*'分摊计算'!$C$4,0)</x:f>
        <x:v>3724.124950563409</x:v>
      </x:c>
      <x:c r="E75" s="19" t="n">
        <x:f>E74+L74+IF($A75=DATE(2026,6,1),5000,0)-IF($A75=DATE(2026,6,16),7878.665*'分摊计算'!$C$5,0)-IF($A75=DATE(2026,6,17),7878.665*'分摊计算'!$C$5,0)</x:f>
        <x:v>1317.2140197813897</x:v>
      </x:c>
      <x:c r="F75" s="19" t="n">
        <x:f>F74+M74+IF($A75=DATE(2026,6,1),7000,0)-IF($A75=DATE(2026,6,16),7878.665*'分摊计算'!$C$6,0)-IF($A75=DATE(2026,6,17),7878.665*'分摊计算'!$C$6,0)</x:f>
        <x:v>1844.0996276939454</x:v>
      </x:c>
      <x:c r="G75" s="19" t="n">
        <x:f>G74+O74+IF($A75=DATE(2026,6,1),1500,0)</x:f>
        <x:v>1430.926467891628</x:v>
      </x:c>
      <x:c r="H75" s="19" t="n">
        <x:f>H74+N74+IF($A75=DATE(2026,6,15),6000,0)-IF($A75=DATE(2026,6,16),6000,0)+IF($A75=DATE(2026,6,16),10000,0)-IF($A75=DATE(2026,6,17),3300,0)-IF($A75=DATE(2026,6,22),5000,0)</x:f>
        <x:v>3071.958050211922</x:v>
      </x:c>
      <x:c r="I75" s="19" t="n">
        <x:f>I74+P74+IF($A75=DATE(2026,6,17),9000,0)+IF($A75=DATE(2026,6,22),1000,0)</x:f>
        <x:v>11087.716883857707</x:v>
      </x:c>
      <x:c r="J75" s="19" t="n">
        <x:f>SUM(D75:I75)</x:f>
        <x:v>22476.04</x:v>
      </x:c>
      <x:c r="K75" s="19" t="n">
        <x:f>IFERROR($B75*D75/$J75,0)</x:f>
        <x:v>0</x:v>
      </x:c>
      <x:c r="L75" s="19" t="n">
        <x:f>IFERROR($B75*E75/$J75,0)</x:f>
        <x:v>0</x:v>
      </x:c>
      <x:c r="M75" s="19" t="n">
        <x:f>IFERROR($B75*F75/$J75,0)</x:f>
        <x:v>0</x:v>
      </x:c>
      <x:c r="N75" s="19" t="n">
        <x:f>IFERROR($B75*H75/$J75,0)</x:f>
        <x:v>0</x:v>
      </x:c>
      <x:c r="O75" s="19" t="n">
        <x:f>IFERROR($B75*G75/$J75,0)</x:f>
        <x:v>0</x:v>
      </x:c>
      <x:c r="P75" s="19" t="n">
        <x:f>IFERROR($B75*I75/$J75,0)</x:f>
        <x:v>0</x:v>
      </x:c>
    </x:row>
    <x:row r="76">
      <x:c r="A76" s="24"/>
      <x:c r="B76" s="25"/>
      <x:c r="C76" s="25"/>
      <x:c r="D76" s="19" t="n">
        <x:f>D75+K75+IF($A76=DATE(2026,6,1),14136.37,0)-IF($A76=DATE(2026,6,16),7878.665*'分摊计算'!$C$4,0)-IF($A76=DATE(2026,6,17),7878.665*'分摊计算'!$C$4,0)</x:f>
        <x:v>3724.124950563409</x:v>
      </x:c>
      <x:c r="E76" s="19" t="n">
        <x:f>E75+L75+IF($A76=DATE(2026,6,1),5000,0)-IF($A76=DATE(2026,6,16),7878.665*'分摊计算'!$C$5,0)-IF($A76=DATE(2026,6,17),7878.665*'分摊计算'!$C$5,0)</x:f>
        <x:v>1317.2140197813897</x:v>
      </x:c>
      <x:c r="F76" s="19" t="n">
        <x:f>F75+M75+IF($A76=DATE(2026,6,1),7000,0)-IF($A76=DATE(2026,6,16),7878.665*'分摊计算'!$C$6,0)-IF($A76=DATE(2026,6,17),7878.665*'分摊计算'!$C$6,0)</x:f>
        <x:v>1844.0996276939454</x:v>
      </x:c>
      <x:c r="G76" s="19" t="n">
        <x:f>G75+O75+IF($A76=DATE(2026,6,1),1500,0)</x:f>
        <x:v>1430.926467891628</x:v>
      </x:c>
      <x:c r="H76" s="19" t="n">
        <x:f>H75+N75+IF($A76=DATE(2026,6,15),6000,0)-IF($A76=DATE(2026,6,16),6000,0)+IF($A76=DATE(2026,6,16),10000,0)-IF($A76=DATE(2026,6,17),3300,0)-IF($A76=DATE(2026,6,22),5000,0)</x:f>
        <x:v>3071.958050211922</x:v>
      </x:c>
      <x:c r="I76" s="19" t="n">
        <x:f>I75+P75+IF($A76=DATE(2026,6,17),9000,0)+IF($A76=DATE(2026,6,22),1000,0)</x:f>
        <x:v>11087.716883857707</x:v>
      </x:c>
      <x:c r="J76" s="19" t="n">
        <x:f>SUM(D76:I76)</x:f>
        <x:v>22476.04</x:v>
      </x:c>
      <x:c r="K76" s="19" t="n">
        <x:f>IFERROR($B76*D76/$J76,0)</x:f>
        <x:v>0</x:v>
      </x:c>
      <x:c r="L76" s="19" t="n">
        <x:f>IFERROR($B76*E76/$J76,0)</x:f>
        <x:v>0</x:v>
      </x:c>
      <x:c r="M76" s="19" t="n">
        <x:f>IFERROR($B76*F76/$J76,0)</x:f>
        <x:v>0</x:v>
      </x:c>
      <x:c r="N76" s="19" t="n">
        <x:f>IFERROR($B76*H76/$J76,0)</x:f>
        <x:v>0</x:v>
      </x:c>
      <x:c r="O76" s="19" t="n">
        <x:f>IFERROR($B76*G76/$J76,0)</x:f>
        <x:v>0</x:v>
      </x:c>
      <x:c r="P76" s="19" t="n">
        <x:f>IFERROR($B76*I76/$J76,0)</x:f>
        <x:v>0</x:v>
      </x:c>
    </x:row>
    <x:row r="77">
      <x:c r="A77" s="24"/>
      <x:c r="B77" s="25"/>
      <x:c r="C77" s="25"/>
      <x:c r="D77" s="19" t="n">
        <x:f>D76+K76+IF($A77=DATE(2026,6,1),14136.37,0)-IF($A77=DATE(2026,6,16),7878.665*'分摊计算'!$C$4,0)-IF($A77=DATE(2026,6,17),7878.665*'分摊计算'!$C$4,0)</x:f>
        <x:v>3724.124950563409</x:v>
      </x:c>
      <x:c r="E77" s="19" t="n">
        <x:f>E76+L76+IF($A77=DATE(2026,6,1),5000,0)-IF($A77=DATE(2026,6,16),7878.665*'分摊计算'!$C$5,0)-IF($A77=DATE(2026,6,17),7878.665*'分摊计算'!$C$5,0)</x:f>
        <x:v>1317.2140197813897</x:v>
      </x:c>
      <x:c r="F77" s="19" t="n">
        <x:f>F76+M76+IF($A77=DATE(2026,6,1),7000,0)-IF($A77=DATE(2026,6,16),7878.665*'分摊计算'!$C$6,0)-IF($A77=DATE(2026,6,17),7878.665*'分摊计算'!$C$6,0)</x:f>
        <x:v>1844.0996276939454</x:v>
      </x:c>
      <x:c r="G77" s="19" t="n">
        <x:f>G76+O76+IF($A77=DATE(2026,6,1),1500,0)</x:f>
        <x:v>1430.926467891628</x:v>
      </x:c>
      <x:c r="H77" s="19" t="n">
        <x:f>H76+N76+IF($A77=DATE(2026,6,15),6000,0)-IF($A77=DATE(2026,6,16),6000,0)+IF($A77=DATE(2026,6,16),10000,0)-IF($A77=DATE(2026,6,17),3300,0)-IF($A77=DATE(2026,6,22),5000,0)</x:f>
        <x:v>3071.958050211922</x:v>
      </x:c>
      <x:c r="I77" s="19" t="n">
        <x:f>I76+P76+IF($A77=DATE(2026,6,17),9000,0)+IF($A77=DATE(2026,6,22),1000,0)</x:f>
        <x:v>11087.716883857707</x:v>
      </x:c>
      <x:c r="J77" s="19" t="n">
        <x:f>SUM(D77:I77)</x:f>
        <x:v>22476.04</x:v>
      </x:c>
      <x:c r="K77" s="19" t="n">
        <x:f>IFERROR($B77*D77/$J77,0)</x:f>
        <x:v>0</x:v>
      </x:c>
      <x:c r="L77" s="19" t="n">
        <x:f>IFERROR($B77*E77/$J77,0)</x:f>
        <x:v>0</x:v>
      </x:c>
      <x:c r="M77" s="19" t="n">
        <x:f>IFERROR($B77*F77/$J77,0)</x:f>
        <x:v>0</x:v>
      </x:c>
      <x:c r="N77" s="19" t="n">
        <x:f>IFERROR($B77*H77/$J77,0)</x:f>
        <x:v>0</x:v>
      </x:c>
      <x:c r="O77" s="19" t="n">
        <x:f>IFERROR($B77*G77/$J77,0)</x:f>
        <x:v>0</x:v>
      </x:c>
      <x:c r="P77" s="19" t="n">
        <x:f>IFERROR($B77*I77/$J77,0)</x:f>
        <x:v>0</x:v>
      </x:c>
    </x:row>
    <x:row r="78">
      <x:c r="A78" s="24"/>
      <x:c r="B78" s="25"/>
      <x:c r="C78" s="25"/>
      <x:c r="D78" s="19" t="n">
        <x:f>D77+K77+IF($A78=DATE(2026,6,1),14136.37,0)-IF($A78=DATE(2026,6,16),7878.665*'分摊计算'!$C$4,0)-IF($A78=DATE(2026,6,17),7878.665*'分摊计算'!$C$4,0)</x:f>
        <x:v>3724.124950563409</x:v>
      </x:c>
      <x:c r="E78" s="19" t="n">
        <x:f>E77+L77+IF($A78=DATE(2026,6,1),5000,0)-IF($A78=DATE(2026,6,16),7878.665*'分摊计算'!$C$5,0)-IF($A78=DATE(2026,6,17),7878.665*'分摊计算'!$C$5,0)</x:f>
        <x:v>1317.2140197813897</x:v>
      </x:c>
      <x:c r="F78" s="19" t="n">
        <x:f>F77+M77+IF($A78=DATE(2026,6,1),7000,0)-IF($A78=DATE(2026,6,16),7878.665*'分摊计算'!$C$6,0)-IF($A78=DATE(2026,6,17),7878.665*'分摊计算'!$C$6,0)</x:f>
        <x:v>1844.0996276939454</x:v>
      </x:c>
      <x:c r="G78" s="19" t="n">
        <x:f>G77+O77+IF($A78=DATE(2026,6,1),1500,0)</x:f>
        <x:v>1430.926467891628</x:v>
      </x:c>
      <x:c r="H78" s="19" t="n">
        <x:f>H77+N77+IF($A78=DATE(2026,6,15),6000,0)-IF($A78=DATE(2026,6,16),6000,0)+IF($A78=DATE(2026,6,16),10000,0)-IF($A78=DATE(2026,6,17),3300,0)-IF($A78=DATE(2026,6,22),5000,0)</x:f>
        <x:v>3071.958050211922</x:v>
      </x:c>
      <x:c r="I78" s="19" t="n">
        <x:f>I77+P77+IF($A78=DATE(2026,6,17),9000,0)+IF($A78=DATE(2026,6,22),1000,0)</x:f>
        <x:v>11087.716883857707</x:v>
      </x:c>
      <x:c r="J78" s="19" t="n">
        <x:f>SUM(D78:I78)</x:f>
        <x:v>22476.04</x:v>
      </x:c>
      <x:c r="K78" s="19" t="n">
        <x:f>IFERROR($B78*D78/$J78,0)</x:f>
        <x:v>0</x:v>
      </x:c>
      <x:c r="L78" s="19" t="n">
        <x:f>IFERROR($B78*E78/$J78,0)</x:f>
        <x:v>0</x:v>
      </x:c>
      <x:c r="M78" s="19" t="n">
        <x:f>IFERROR($B78*F78/$J78,0)</x:f>
        <x:v>0</x:v>
      </x:c>
      <x:c r="N78" s="19" t="n">
        <x:f>IFERROR($B78*H78/$J78,0)</x:f>
        <x:v>0</x:v>
      </x:c>
      <x:c r="O78" s="19" t="n">
        <x:f>IFERROR($B78*G78/$J78,0)</x:f>
        <x:v>0</x:v>
      </x:c>
      <x:c r="P78" s="19" t="n">
        <x:f>IFERROR($B78*I78/$J78,0)</x:f>
        <x:v>0</x:v>
      </x:c>
    </x:row>
    <x:row r="79">
      <x:c r="A79" s="24"/>
      <x:c r="B79" s="25"/>
      <x:c r="C79" s="25"/>
      <x:c r="D79" s="19" t="n">
        <x:f>D78+K78+IF($A79=DATE(2026,6,1),14136.37,0)-IF($A79=DATE(2026,6,16),7878.665*'分摊计算'!$C$4,0)-IF($A79=DATE(2026,6,17),7878.665*'分摊计算'!$C$4,0)</x:f>
        <x:v>3724.124950563409</x:v>
      </x:c>
      <x:c r="E79" s="19" t="n">
        <x:f>E78+L78+IF($A79=DATE(2026,6,1),5000,0)-IF($A79=DATE(2026,6,16),7878.665*'分摊计算'!$C$5,0)-IF($A79=DATE(2026,6,17),7878.665*'分摊计算'!$C$5,0)</x:f>
        <x:v>1317.2140197813897</x:v>
      </x:c>
      <x:c r="F79" s="19" t="n">
        <x:f>F78+M78+IF($A79=DATE(2026,6,1),7000,0)-IF($A79=DATE(2026,6,16),7878.665*'分摊计算'!$C$6,0)-IF($A79=DATE(2026,6,17),7878.665*'分摊计算'!$C$6,0)</x:f>
        <x:v>1844.0996276939454</x:v>
      </x:c>
      <x:c r="G79" s="19" t="n">
        <x:f>G78+O78+IF($A79=DATE(2026,6,1),1500,0)</x:f>
        <x:v>1430.926467891628</x:v>
      </x:c>
      <x:c r="H79" s="19" t="n">
        <x:f>H78+N78+IF($A79=DATE(2026,6,15),6000,0)-IF($A79=DATE(2026,6,16),6000,0)+IF($A79=DATE(2026,6,16),10000,0)-IF($A79=DATE(2026,6,17),3300,0)-IF($A79=DATE(2026,6,22),5000,0)</x:f>
        <x:v>3071.958050211922</x:v>
      </x:c>
      <x:c r="I79" s="19" t="n">
        <x:f>I78+P78+IF($A79=DATE(2026,6,17),9000,0)+IF($A79=DATE(2026,6,22),1000,0)</x:f>
        <x:v>11087.716883857707</x:v>
      </x:c>
      <x:c r="J79" s="19" t="n">
        <x:f>SUM(D79:I79)</x:f>
        <x:v>22476.04</x:v>
      </x:c>
      <x:c r="K79" s="19" t="n">
        <x:f>IFERROR($B79*D79/$J79,0)</x:f>
        <x:v>0</x:v>
      </x:c>
      <x:c r="L79" s="19" t="n">
        <x:f>IFERROR($B79*E79/$J79,0)</x:f>
        <x:v>0</x:v>
      </x:c>
      <x:c r="M79" s="19" t="n">
        <x:f>IFERROR($B79*F79/$J79,0)</x:f>
        <x:v>0</x:v>
      </x:c>
      <x:c r="N79" s="19" t="n">
        <x:f>IFERROR($B79*H79/$J79,0)</x:f>
        <x:v>0</x:v>
      </x:c>
      <x:c r="O79" s="19" t="n">
        <x:f>IFERROR($B79*G79/$J79,0)</x:f>
        <x:v>0</x:v>
      </x:c>
      <x:c r="P79" s="19" t="n">
        <x:f>IFERROR($B79*I79/$J79,0)</x:f>
        <x:v>0</x:v>
      </x:c>
    </x:row>
    <x:row r="80">
      <x:c r="A80" s="24"/>
      <x:c r="B80" s="25"/>
      <x:c r="C80" s="25"/>
      <x:c r="D80" s="19" t="n">
        <x:f>D79+K79+IF($A80=DATE(2026,6,1),14136.37,0)-IF($A80=DATE(2026,6,16),7878.665*'分摊计算'!$C$4,0)-IF($A80=DATE(2026,6,17),7878.665*'分摊计算'!$C$4,0)</x:f>
        <x:v>3724.124950563409</x:v>
      </x:c>
      <x:c r="E80" s="19" t="n">
        <x:f>E79+L79+IF($A80=DATE(2026,6,1),5000,0)-IF($A80=DATE(2026,6,16),7878.665*'分摊计算'!$C$5,0)-IF($A80=DATE(2026,6,17),7878.665*'分摊计算'!$C$5,0)</x:f>
        <x:v>1317.2140197813897</x:v>
      </x:c>
      <x:c r="F80" s="19" t="n">
        <x:f>F79+M79+IF($A80=DATE(2026,6,1),7000,0)-IF($A80=DATE(2026,6,16),7878.665*'分摊计算'!$C$6,0)-IF($A80=DATE(2026,6,17),7878.665*'分摊计算'!$C$6,0)</x:f>
        <x:v>1844.0996276939454</x:v>
      </x:c>
      <x:c r="G80" s="19" t="n">
        <x:f>G79+O79+IF($A80=DATE(2026,6,1),1500,0)</x:f>
        <x:v>1430.926467891628</x:v>
      </x:c>
      <x:c r="H80" s="19" t="n">
        <x:f>H79+N79+IF($A80=DATE(2026,6,15),6000,0)-IF($A80=DATE(2026,6,16),6000,0)+IF($A80=DATE(2026,6,16),10000,0)-IF($A80=DATE(2026,6,17),3300,0)-IF($A80=DATE(2026,6,22),5000,0)</x:f>
        <x:v>3071.958050211922</x:v>
      </x:c>
      <x:c r="I80" s="19" t="n">
        <x:f>I79+P79+IF($A80=DATE(2026,6,17),9000,0)+IF($A80=DATE(2026,6,22),1000,0)</x:f>
        <x:v>11087.716883857707</x:v>
      </x:c>
      <x:c r="J80" s="19" t="n">
        <x:f>SUM(D80:I80)</x:f>
        <x:v>22476.04</x:v>
      </x:c>
      <x:c r="K80" s="19" t="n">
        <x:f>IFERROR($B80*D80/$J80,0)</x:f>
        <x:v>0</x:v>
      </x:c>
      <x:c r="L80" s="19" t="n">
        <x:f>IFERROR($B80*E80/$J80,0)</x:f>
        <x:v>0</x:v>
      </x:c>
      <x:c r="M80" s="19" t="n">
        <x:f>IFERROR($B80*F80/$J80,0)</x:f>
        <x:v>0</x:v>
      </x:c>
      <x:c r="N80" s="19" t="n">
        <x:f>IFERROR($B80*H80/$J80,0)</x:f>
        <x:v>0</x:v>
      </x:c>
      <x:c r="O80" s="19" t="n">
        <x:f>IFERROR($B80*G80/$J80,0)</x:f>
        <x:v>0</x:v>
      </x:c>
      <x:c r="P80" s="19" t="n">
        <x:f>IFERROR($B80*I80/$J80,0)</x:f>
        <x:v>0</x:v>
      </x:c>
    </x:row>
    <x:row r="81">
      <x:c r="A81" s="24"/>
      <x:c r="B81" s="25"/>
      <x:c r="C81" s="25"/>
      <x:c r="D81" s="19" t="n">
        <x:f>D80+K80+IF($A81=DATE(2026,6,1),14136.37,0)-IF($A81=DATE(2026,6,16),7878.665*'分摊计算'!$C$4,0)-IF($A81=DATE(2026,6,17),7878.665*'分摊计算'!$C$4,0)</x:f>
        <x:v>3724.124950563409</x:v>
      </x:c>
      <x:c r="E81" s="19" t="n">
        <x:f>E80+L80+IF($A81=DATE(2026,6,1),5000,0)-IF($A81=DATE(2026,6,16),7878.665*'分摊计算'!$C$5,0)-IF($A81=DATE(2026,6,17),7878.665*'分摊计算'!$C$5,0)</x:f>
        <x:v>1317.2140197813897</x:v>
      </x:c>
      <x:c r="F81" s="19" t="n">
        <x:f>F80+M80+IF($A81=DATE(2026,6,1),7000,0)-IF($A81=DATE(2026,6,16),7878.665*'分摊计算'!$C$6,0)-IF($A81=DATE(2026,6,17),7878.665*'分摊计算'!$C$6,0)</x:f>
        <x:v>1844.0996276939454</x:v>
      </x:c>
      <x:c r="G81" s="19" t="n">
        <x:f>G80+O80+IF($A81=DATE(2026,6,1),1500,0)</x:f>
        <x:v>1430.926467891628</x:v>
      </x:c>
      <x:c r="H81" s="19" t="n">
        <x:f>H80+N80+IF($A81=DATE(2026,6,15),6000,0)-IF($A81=DATE(2026,6,16),6000,0)+IF($A81=DATE(2026,6,16),10000,0)-IF($A81=DATE(2026,6,17),3300,0)-IF($A81=DATE(2026,6,22),5000,0)</x:f>
        <x:v>3071.958050211922</x:v>
      </x:c>
      <x:c r="I81" s="19" t="n">
        <x:f>I80+P80+IF($A81=DATE(2026,6,17),9000,0)+IF($A81=DATE(2026,6,22),1000,0)</x:f>
        <x:v>11087.716883857707</x:v>
      </x:c>
      <x:c r="J81" s="19" t="n">
        <x:f>SUM(D81:I81)</x:f>
        <x:v>22476.04</x:v>
      </x:c>
      <x:c r="K81" s="19" t="n">
        <x:f>IFERROR($B81*D81/$J81,0)</x:f>
        <x:v>0</x:v>
      </x:c>
      <x:c r="L81" s="19" t="n">
        <x:f>IFERROR($B81*E81/$J81,0)</x:f>
        <x:v>0</x:v>
      </x:c>
      <x:c r="M81" s="19" t="n">
        <x:f>IFERROR($B81*F81/$J81,0)</x:f>
        <x:v>0</x:v>
      </x:c>
      <x:c r="N81" s="19" t="n">
        <x:f>IFERROR($B81*H81/$J81,0)</x:f>
        <x:v>0</x:v>
      </x:c>
      <x:c r="O81" s="19" t="n">
        <x:f>IFERROR($B81*G81/$J81,0)</x:f>
        <x:v>0</x:v>
      </x:c>
      <x:c r="P81" s="19" t="n">
        <x:f>IFERROR($B81*I81/$J81,0)</x:f>
        <x:v>0</x:v>
      </x:c>
    </x:row>
    <x:row r="82">
      <x:c r="A82" s="24"/>
      <x:c r="B82" s="25"/>
      <x:c r="C82" s="25"/>
      <x:c r="D82" s="19" t="n">
        <x:f>D81+K81+IF($A82=DATE(2026,6,1),14136.37,0)-IF($A82=DATE(2026,6,16),7878.665*'分摊计算'!$C$4,0)-IF($A82=DATE(2026,6,17),7878.665*'分摊计算'!$C$4,0)</x:f>
        <x:v>3724.124950563409</x:v>
      </x:c>
      <x:c r="E82" s="19" t="n">
        <x:f>E81+L81+IF($A82=DATE(2026,6,1),5000,0)-IF($A82=DATE(2026,6,16),7878.665*'分摊计算'!$C$5,0)-IF($A82=DATE(2026,6,17),7878.665*'分摊计算'!$C$5,0)</x:f>
        <x:v>1317.2140197813897</x:v>
      </x:c>
      <x:c r="F82" s="19" t="n">
        <x:f>F81+M81+IF($A82=DATE(2026,6,1),7000,0)-IF($A82=DATE(2026,6,16),7878.665*'分摊计算'!$C$6,0)-IF($A82=DATE(2026,6,17),7878.665*'分摊计算'!$C$6,0)</x:f>
        <x:v>1844.0996276939454</x:v>
      </x:c>
      <x:c r="G82" s="19" t="n">
        <x:f>G81+O81+IF($A82=DATE(2026,6,1),1500,0)</x:f>
        <x:v>1430.926467891628</x:v>
      </x:c>
      <x:c r="H82" s="19" t="n">
        <x:f>H81+N81+IF($A82=DATE(2026,6,15),6000,0)-IF($A82=DATE(2026,6,16),6000,0)+IF($A82=DATE(2026,6,16),10000,0)-IF($A82=DATE(2026,6,17),3300,0)-IF($A82=DATE(2026,6,22),5000,0)</x:f>
        <x:v>3071.958050211922</x:v>
      </x:c>
      <x:c r="I82" s="19" t="n">
        <x:f>I81+P81+IF($A82=DATE(2026,6,17),9000,0)+IF($A82=DATE(2026,6,22),1000,0)</x:f>
        <x:v>11087.716883857707</x:v>
      </x:c>
      <x:c r="J82" s="19" t="n">
        <x:f>SUM(D82:I82)</x:f>
        <x:v>22476.04</x:v>
      </x:c>
      <x:c r="K82" s="19" t="n">
        <x:f>IFERROR($B82*D82/$J82,0)</x:f>
        <x:v>0</x:v>
      </x:c>
      <x:c r="L82" s="19" t="n">
        <x:f>IFERROR($B82*E82/$J82,0)</x:f>
        <x:v>0</x:v>
      </x:c>
      <x:c r="M82" s="19" t="n">
        <x:f>IFERROR($B82*F82/$J82,0)</x:f>
        <x:v>0</x:v>
      </x:c>
      <x:c r="N82" s="19" t="n">
        <x:f>IFERROR($B82*H82/$J82,0)</x:f>
        <x:v>0</x:v>
      </x:c>
      <x:c r="O82" s="19" t="n">
        <x:f>IFERROR($B82*G82/$J82,0)</x:f>
        <x:v>0</x:v>
      </x:c>
      <x:c r="P82" s="19" t="n">
        <x:f>IFERROR($B82*I82/$J82,0)</x:f>
        <x:v>0</x:v>
      </x:c>
    </x:row>
    <x:row r="83">
      <x:c r="A83" s="24"/>
      <x:c r="B83" s="25"/>
      <x:c r="C83" s="25"/>
      <x:c r="D83" s="19" t="n">
        <x:f>D82+K82+IF($A83=DATE(2026,6,1),14136.37,0)-IF($A83=DATE(2026,6,16),7878.665*'分摊计算'!$C$4,0)-IF($A83=DATE(2026,6,17),7878.665*'分摊计算'!$C$4,0)</x:f>
        <x:v>3724.124950563409</x:v>
      </x:c>
      <x:c r="E83" s="19" t="n">
        <x:f>E82+L82+IF($A83=DATE(2026,6,1),5000,0)-IF($A83=DATE(2026,6,16),7878.665*'分摊计算'!$C$5,0)-IF($A83=DATE(2026,6,17),7878.665*'分摊计算'!$C$5,0)</x:f>
        <x:v>1317.2140197813897</x:v>
      </x:c>
      <x:c r="F83" s="19" t="n">
        <x:f>F82+M82+IF($A83=DATE(2026,6,1),7000,0)-IF($A83=DATE(2026,6,16),7878.665*'分摊计算'!$C$6,0)-IF($A83=DATE(2026,6,17),7878.665*'分摊计算'!$C$6,0)</x:f>
        <x:v>1844.0996276939454</x:v>
      </x:c>
      <x:c r="G83" s="19" t="n">
        <x:f>G82+O82+IF($A83=DATE(2026,6,1),1500,0)</x:f>
        <x:v>1430.926467891628</x:v>
      </x:c>
      <x:c r="H83" s="19" t="n">
        <x:f>H82+N82+IF($A83=DATE(2026,6,15),6000,0)-IF($A83=DATE(2026,6,16),6000,0)+IF($A83=DATE(2026,6,16),10000,0)-IF($A83=DATE(2026,6,17),3300,0)-IF($A83=DATE(2026,6,22),5000,0)</x:f>
        <x:v>3071.958050211922</x:v>
      </x:c>
      <x:c r="I83" s="19" t="n">
        <x:f>I82+P82+IF($A83=DATE(2026,6,17),9000,0)+IF($A83=DATE(2026,6,22),1000,0)</x:f>
        <x:v>11087.716883857707</x:v>
      </x:c>
      <x:c r="J83" s="19" t="n">
        <x:f>SUM(D83:I83)</x:f>
        <x:v>22476.04</x:v>
      </x:c>
      <x:c r="K83" s="19" t="n">
        <x:f>IFERROR($B83*D83/$J83,0)</x:f>
        <x:v>0</x:v>
      </x:c>
      <x:c r="L83" s="19" t="n">
        <x:f>IFERROR($B83*E83/$J83,0)</x:f>
        <x:v>0</x:v>
      </x:c>
      <x:c r="M83" s="19" t="n">
        <x:f>IFERROR($B83*F83/$J83,0)</x:f>
        <x:v>0</x:v>
      </x:c>
      <x:c r="N83" s="19" t="n">
        <x:f>IFERROR($B83*H83/$J83,0)</x:f>
        <x:v>0</x:v>
      </x:c>
      <x:c r="O83" s="19" t="n">
        <x:f>IFERROR($B83*G83/$J83,0)</x:f>
        <x:v>0</x:v>
      </x:c>
      <x:c r="P83" s="19" t="n">
        <x:f>IFERROR($B83*I83/$J83,0)</x:f>
        <x:v>0</x:v>
      </x:c>
    </x:row>
    <x:row r="84">
      <x:c r="A84" s="24"/>
      <x:c r="B84" s="25"/>
      <x:c r="C84" s="25"/>
      <x:c r="D84" s="19" t="n">
        <x:f>D83+K83+IF($A84=DATE(2026,6,1),14136.37,0)-IF($A84=DATE(2026,6,16),7878.665*'分摊计算'!$C$4,0)-IF($A84=DATE(2026,6,17),7878.665*'分摊计算'!$C$4,0)</x:f>
        <x:v>3724.124950563409</x:v>
      </x:c>
      <x:c r="E84" s="19" t="n">
        <x:f>E83+L83+IF($A84=DATE(2026,6,1),5000,0)-IF($A84=DATE(2026,6,16),7878.665*'分摊计算'!$C$5,0)-IF($A84=DATE(2026,6,17),7878.665*'分摊计算'!$C$5,0)</x:f>
        <x:v>1317.2140197813897</x:v>
      </x:c>
      <x:c r="F84" s="19" t="n">
        <x:f>F83+M83+IF($A84=DATE(2026,6,1),7000,0)-IF($A84=DATE(2026,6,16),7878.665*'分摊计算'!$C$6,0)-IF($A84=DATE(2026,6,17),7878.665*'分摊计算'!$C$6,0)</x:f>
        <x:v>1844.0996276939454</x:v>
      </x:c>
      <x:c r="G84" s="19" t="n">
        <x:f>G83+O83+IF($A84=DATE(2026,6,1),1500,0)</x:f>
        <x:v>1430.926467891628</x:v>
      </x:c>
      <x:c r="H84" s="19" t="n">
        <x:f>H83+N83+IF($A84=DATE(2026,6,15),6000,0)-IF($A84=DATE(2026,6,16),6000,0)+IF($A84=DATE(2026,6,16),10000,0)-IF($A84=DATE(2026,6,17),3300,0)-IF($A84=DATE(2026,6,22),5000,0)</x:f>
        <x:v>3071.958050211922</x:v>
      </x:c>
      <x:c r="I84" s="19" t="n">
        <x:f>I83+P83+IF($A84=DATE(2026,6,17),9000,0)+IF($A84=DATE(2026,6,22),1000,0)</x:f>
        <x:v>11087.716883857707</x:v>
      </x:c>
      <x:c r="J84" s="19" t="n">
        <x:f>SUM(D84:I84)</x:f>
        <x:v>22476.04</x:v>
      </x:c>
      <x:c r="K84" s="19" t="n">
        <x:f>IFERROR($B84*D84/$J84,0)</x:f>
        <x:v>0</x:v>
      </x:c>
      <x:c r="L84" s="19" t="n">
        <x:f>IFERROR($B84*E84/$J84,0)</x:f>
        <x:v>0</x:v>
      </x:c>
      <x:c r="M84" s="19" t="n">
        <x:f>IFERROR($B84*F84/$J84,0)</x:f>
        <x:v>0</x:v>
      </x:c>
      <x:c r="N84" s="19" t="n">
        <x:f>IFERROR($B84*H84/$J84,0)</x:f>
        <x:v>0</x:v>
      </x:c>
      <x:c r="O84" s="19" t="n">
        <x:f>IFERROR($B84*G84/$J84,0)</x:f>
        <x:v>0</x:v>
      </x:c>
      <x:c r="P84" s="19" t="n">
        <x:f>IFERROR($B84*I84/$J84,0)</x:f>
        <x:v>0</x:v>
      </x:c>
    </x:row>
    <x:row r="85">
      <x:c r="A85" s="24"/>
      <x:c r="B85" s="25"/>
      <x:c r="C85" s="25"/>
      <x:c r="D85" s="19" t="n">
        <x:f>D84+K84+IF($A85=DATE(2026,6,1),14136.37,0)-IF($A85=DATE(2026,6,16),7878.665*'分摊计算'!$C$4,0)-IF($A85=DATE(2026,6,17),7878.665*'分摊计算'!$C$4,0)</x:f>
        <x:v>3724.124950563409</x:v>
      </x:c>
      <x:c r="E85" s="19" t="n">
        <x:f>E84+L84+IF($A85=DATE(2026,6,1),5000,0)-IF($A85=DATE(2026,6,16),7878.665*'分摊计算'!$C$5,0)-IF($A85=DATE(2026,6,17),7878.665*'分摊计算'!$C$5,0)</x:f>
        <x:v>1317.2140197813897</x:v>
      </x:c>
      <x:c r="F85" s="19" t="n">
        <x:f>F84+M84+IF($A85=DATE(2026,6,1),7000,0)-IF($A85=DATE(2026,6,16),7878.665*'分摊计算'!$C$6,0)-IF($A85=DATE(2026,6,17),7878.665*'分摊计算'!$C$6,0)</x:f>
        <x:v>1844.0996276939454</x:v>
      </x:c>
      <x:c r="G85" s="19" t="n">
        <x:f>G84+O84+IF($A85=DATE(2026,6,1),1500,0)</x:f>
        <x:v>1430.926467891628</x:v>
      </x:c>
      <x:c r="H85" s="19" t="n">
        <x:f>H84+N84+IF($A85=DATE(2026,6,15),6000,0)-IF($A85=DATE(2026,6,16),6000,0)+IF($A85=DATE(2026,6,16),10000,0)-IF($A85=DATE(2026,6,17),3300,0)-IF($A85=DATE(2026,6,22),5000,0)</x:f>
        <x:v>3071.958050211922</x:v>
      </x:c>
      <x:c r="I85" s="19" t="n">
        <x:f>I84+P84+IF($A85=DATE(2026,6,17),9000,0)+IF($A85=DATE(2026,6,22),1000,0)</x:f>
        <x:v>11087.716883857707</x:v>
      </x:c>
      <x:c r="J85" s="19" t="n">
        <x:f>SUM(D85:I85)</x:f>
        <x:v>22476.04</x:v>
      </x:c>
      <x:c r="K85" s="19" t="n">
        <x:f>IFERROR($B85*D85/$J85,0)</x:f>
        <x:v>0</x:v>
      </x:c>
      <x:c r="L85" s="19" t="n">
        <x:f>IFERROR($B85*E85/$J85,0)</x:f>
        <x:v>0</x:v>
      </x:c>
      <x:c r="M85" s="19" t="n">
        <x:f>IFERROR($B85*F85/$J85,0)</x:f>
        <x:v>0</x:v>
      </x:c>
      <x:c r="N85" s="19" t="n">
        <x:f>IFERROR($B85*H85/$J85,0)</x:f>
        <x:v>0</x:v>
      </x:c>
      <x:c r="O85" s="19" t="n">
        <x:f>IFERROR($B85*G85/$J85,0)</x:f>
        <x:v>0</x:v>
      </x:c>
      <x:c r="P85" s="19" t="n">
        <x:f>IFERROR($B85*I85/$J85,0)</x:f>
        <x:v>0</x:v>
      </x:c>
    </x:row>
    <x:row r="86">
      <x:c r="A86" s="24"/>
      <x:c r="B86" s="25"/>
      <x:c r="C86" s="25"/>
      <x:c r="D86" s="19" t="n">
        <x:f>D85+K85+IF($A86=DATE(2026,6,1),14136.37,0)-IF($A86=DATE(2026,6,16),7878.665*'分摊计算'!$C$4,0)-IF($A86=DATE(2026,6,17),7878.665*'分摊计算'!$C$4,0)</x:f>
        <x:v>3724.124950563409</x:v>
      </x:c>
      <x:c r="E86" s="19" t="n">
        <x:f>E85+L85+IF($A86=DATE(2026,6,1),5000,0)-IF($A86=DATE(2026,6,16),7878.665*'分摊计算'!$C$5,0)-IF($A86=DATE(2026,6,17),7878.665*'分摊计算'!$C$5,0)</x:f>
        <x:v>1317.2140197813897</x:v>
      </x:c>
      <x:c r="F86" s="19" t="n">
        <x:f>F85+M85+IF($A86=DATE(2026,6,1),7000,0)-IF($A86=DATE(2026,6,16),7878.665*'分摊计算'!$C$6,0)-IF($A86=DATE(2026,6,17),7878.665*'分摊计算'!$C$6,0)</x:f>
        <x:v>1844.0996276939454</x:v>
      </x:c>
      <x:c r="G86" s="19" t="n">
        <x:f>G85+O85+IF($A86=DATE(2026,6,1),1500,0)</x:f>
        <x:v>1430.926467891628</x:v>
      </x:c>
      <x:c r="H86" s="19" t="n">
        <x:f>H85+N85+IF($A86=DATE(2026,6,15),6000,0)-IF($A86=DATE(2026,6,16),6000,0)+IF($A86=DATE(2026,6,16),10000,0)-IF($A86=DATE(2026,6,17),3300,0)-IF($A86=DATE(2026,6,22),5000,0)</x:f>
        <x:v>3071.958050211922</x:v>
      </x:c>
      <x:c r="I86" s="19" t="n">
        <x:f>I85+P85+IF($A86=DATE(2026,6,17),9000,0)+IF($A86=DATE(2026,6,22),1000,0)</x:f>
        <x:v>11087.716883857707</x:v>
      </x:c>
      <x:c r="J86" s="19" t="n">
        <x:f>SUM(D86:I86)</x:f>
        <x:v>22476.04</x:v>
      </x:c>
      <x:c r="K86" s="19" t="n">
        <x:f>IFERROR($B86*D86/$J86,0)</x:f>
        <x:v>0</x:v>
      </x:c>
      <x:c r="L86" s="19" t="n">
        <x:f>IFERROR($B86*E86/$J86,0)</x:f>
        <x:v>0</x:v>
      </x:c>
      <x:c r="M86" s="19" t="n">
        <x:f>IFERROR($B86*F86/$J86,0)</x:f>
        <x:v>0</x:v>
      </x:c>
      <x:c r="N86" s="19" t="n">
        <x:f>IFERROR($B86*H86/$J86,0)</x:f>
        <x:v>0</x:v>
      </x:c>
      <x:c r="O86" s="19" t="n">
        <x:f>IFERROR($B86*G86/$J86,0)</x:f>
        <x:v>0</x:v>
      </x:c>
      <x:c r="P86" s="19" t="n">
        <x:f>IFERROR($B86*I86/$J86,0)</x:f>
        <x:v>0</x:v>
      </x:c>
    </x:row>
    <x:row r="87">
      <x:c r="A87" s="24"/>
      <x:c r="B87" s="25"/>
      <x:c r="C87" s="25"/>
      <x:c r="D87" s="19" t="n">
        <x:f>D86+K86+IF($A87=DATE(2026,6,1),14136.37,0)-IF($A87=DATE(2026,6,16),7878.665*'分摊计算'!$C$4,0)-IF($A87=DATE(2026,6,17),7878.665*'分摊计算'!$C$4,0)</x:f>
        <x:v>3724.124950563409</x:v>
      </x:c>
      <x:c r="E87" s="19" t="n">
        <x:f>E86+L86+IF($A87=DATE(2026,6,1),5000,0)-IF($A87=DATE(2026,6,16),7878.665*'分摊计算'!$C$5,0)-IF($A87=DATE(2026,6,17),7878.665*'分摊计算'!$C$5,0)</x:f>
        <x:v>1317.2140197813897</x:v>
      </x:c>
      <x:c r="F87" s="19" t="n">
        <x:f>F86+M86+IF($A87=DATE(2026,6,1),7000,0)-IF($A87=DATE(2026,6,16),7878.665*'分摊计算'!$C$6,0)-IF($A87=DATE(2026,6,17),7878.665*'分摊计算'!$C$6,0)</x:f>
        <x:v>1844.0996276939454</x:v>
      </x:c>
      <x:c r="G87" s="19" t="n">
        <x:f>G86+O86+IF($A87=DATE(2026,6,1),1500,0)</x:f>
        <x:v>1430.926467891628</x:v>
      </x:c>
      <x:c r="H87" s="19" t="n">
        <x:f>H86+N86+IF($A87=DATE(2026,6,15),6000,0)-IF($A87=DATE(2026,6,16),6000,0)+IF($A87=DATE(2026,6,16),10000,0)-IF($A87=DATE(2026,6,17),3300,0)-IF($A87=DATE(2026,6,22),5000,0)</x:f>
        <x:v>3071.958050211922</x:v>
      </x:c>
      <x:c r="I87" s="19" t="n">
        <x:f>I86+P86+IF($A87=DATE(2026,6,17),9000,0)+IF($A87=DATE(2026,6,22),1000,0)</x:f>
        <x:v>11087.716883857707</x:v>
      </x:c>
      <x:c r="J87" s="19" t="n">
        <x:f>SUM(D87:I87)</x:f>
        <x:v>22476.04</x:v>
      </x:c>
      <x:c r="K87" s="19" t="n">
        <x:f>IFERROR($B87*D87/$J87,0)</x:f>
        <x:v>0</x:v>
      </x:c>
      <x:c r="L87" s="19" t="n">
        <x:f>IFERROR($B87*E87/$J87,0)</x:f>
        <x:v>0</x:v>
      </x:c>
      <x:c r="M87" s="19" t="n">
        <x:f>IFERROR($B87*F87/$J87,0)</x:f>
        <x:v>0</x:v>
      </x:c>
      <x:c r="N87" s="19" t="n">
        <x:f>IFERROR($B87*H87/$J87,0)</x:f>
        <x:v>0</x:v>
      </x:c>
      <x:c r="O87" s="19" t="n">
        <x:f>IFERROR($B87*G87/$J87,0)</x:f>
        <x:v>0</x:v>
      </x:c>
      <x:c r="P87" s="19" t="n">
        <x:f>IFERROR($B87*I87/$J87,0)</x:f>
        <x:v>0</x:v>
      </x:c>
    </x:row>
    <x:row r="88">
      <x:c r="A88" s="24"/>
      <x:c r="B88" s="25"/>
      <x:c r="C88" s="25"/>
      <x:c r="D88" s="19" t="n">
        <x:f>D87+K87+IF($A88=DATE(2026,6,1),14136.37,0)-IF($A88=DATE(2026,6,16),7878.665*'分摊计算'!$C$4,0)-IF($A88=DATE(2026,6,17),7878.665*'分摊计算'!$C$4,0)</x:f>
        <x:v>3724.124950563409</x:v>
      </x:c>
      <x:c r="E88" s="19" t="n">
        <x:f>E87+L87+IF($A88=DATE(2026,6,1),5000,0)-IF($A88=DATE(2026,6,16),7878.665*'分摊计算'!$C$5,0)-IF($A88=DATE(2026,6,17),7878.665*'分摊计算'!$C$5,0)</x:f>
        <x:v>1317.2140197813897</x:v>
      </x:c>
      <x:c r="F88" s="19" t="n">
        <x:f>F87+M87+IF($A88=DATE(2026,6,1),7000,0)-IF($A88=DATE(2026,6,16),7878.665*'分摊计算'!$C$6,0)-IF($A88=DATE(2026,6,17),7878.665*'分摊计算'!$C$6,0)</x:f>
        <x:v>1844.0996276939454</x:v>
      </x:c>
      <x:c r="G88" s="19" t="n">
        <x:f>G87+O87+IF($A88=DATE(2026,6,1),1500,0)</x:f>
        <x:v>1430.926467891628</x:v>
      </x:c>
      <x:c r="H88" s="19" t="n">
        <x:f>H87+N87+IF($A88=DATE(2026,6,15),6000,0)-IF($A88=DATE(2026,6,16),6000,0)+IF($A88=DATE(2026,6,16),10000,0)-IF($A88=DATE(2026,6,17),3300,0)-IF($A88=DATE(2026,6,22),5000,0)</x:f>
        <x:v>3071.958050211922</x:v>
      </x:c>
      <x:c r="I88" s="19" t="n">
        <x:f>I87+P87+IF($A88=DATE(2026,6,17),9000,0)+IF($A88=DATE(2026,6,22),1000,0)</x:f>
        <x:v>11087.716883857707</x:v>
      </x:c>
      <x:c r="J88" s="19" t="n">
        <x:f>SUM(D88:I88)</x:f>
        <x:v>22476.04</x:v>
      </x:c>
      <x:c r="K88" s="19" t="n">
        <x:f>IFERROR($B88*D88/$J88,0)</x:f>
        <x:v>0</x:v>
      </x:c>
      <x:c r="L88" s="19" t="n">
        <x:f>IFERROR($B88*E88/$J88,0)</x:f>
        <x:v>0</x:v>
      </x:c>
      <x:c r="M88" s="19" t="n">
        <x:f>IFERROR($B88*F88/$J88,0)</x:f>
        <x:v>0</x:v>
      </x:c>
      <x:c r="N88" s="19" t="n">
        <x:f>IFERROR($B88*H88/$J88,0)</x:f>
        <x:v>0</x:v>
      </x:c>
      <x:c r="O88" s="19" t="n">
        <x:f>IFERROR($B88*G88/$J88,0)</x:f>
        <x:v>0</x:v>
      </x:c>
      <x:c r="P88" s="19" t="n">
        <x:f>IFERROR($B88*I88/$J88,0)</x:f>
        <x:v>0</x:v>
      </x:c>
    </x:row>
    <x:row r="89">
      <x:c r="A89" s="24"/>
      <x:c r="B89" s="25"/>
      <x:c r="C89" s="25"/>
      <x:c r="D89" s="19" t="n">
        <x:f>D88+K88+IF($A89=DATE(2026,6,1),14136.37,0)-IF($A89=DATE(2026,6,16),7878.665*'分摊计算'!$C$4,0)-IF($A89=DATE(2026,6,17),7878.665*'分摊计算'!$C$4,0)</x:f>
        <x:v>3724.124950563409</x:v>
      </x:c>
      <x:c r="E89" s="19" t="n">
        <x:f>E88+L88+IF($A89=DATE(2026,6,1),5000,0)-IF($A89=DATE(2026,6,16),7878.665*'分摊计算'!$C$5,0)-IF($A89=DATE(2026,6,17),7878.665*'分摊计算'!$C$5,0)</x:f>
        <x:v>1317.2140197813897</x:v>
      </x:c>
      <x:c r="F89" s="19" t="n">
        <x:f>F88+M88+IF($A89=DATE(2026,6,1),7000,0)-IF($A89=DATE(2026,6,16),7878.665*'分摊计算'!$C$6,0)-IF($A89=DATE(2026,6,17),7878.665*'分摊计算'!$C$6,0)</x:f>
        <x:v>1844.0996276939454</x:v>
      </x:c>
      <x:c r="G89" s="19" t="n">
        <x:f>G88+O88+IF($A89=DATE(2026,6,1),1500,0)</x:f>
        <x:v>1430.926467891628</x:v>
      </x:c>
      <x:c r="H89" s="19" t="n">
        <x:f>H88+N88+IF($A89=DATE(2026,6,15),6000,0)-IF($A89=DATE(2026,6,16),6000,0)+IF($A89=DATE(2026,6,16),10000,0)-IF($A89=DATE(2026,6,17),3300,0)-IF($A89=DATE(2026,6,22),5000,0)</x:f>
        <x:v>3071.958050211922</x:v>
      </x:c>
      <x:c r="I89" s="19" t="n">
        <x:f>I88+P88+IF($A89=DATE(2026,6,17),9000,0)+IF($A89=DATE(2026,6,22),1000,0)</x:f>
        <x:v>11087.716883857707</x:v>
      </x:c>
      <x:c r="J89" s="19" t="n">
        <x:f>SUM(D89:I89)</x:f>
        <x:v>22476.04</x:v>
      </x:c>
      <x:c r="K89" s="19" t="n">
        <x:f>IFERROR($B89*D89/$J89,0)</x:f>
        <x:v>0</x:v>
      </x:c>
      <x:c r="L89" s="19" t="n">
        <x:f>IFERROR($B89*E89/$J89,0)</x:f>
        <x:v>0</x:v>
      </x:c>
      <x:c r="M89" s="19" t="n">
        <x:f>IFERROR($B89*F89/$J89,0)</x:f>
        <x:v>0</x:v>
      </x:c>
      <x:c r="N89" s="19" t="n">
        <x:f>IFERROR($B89*H89/$J89,0)</x:f>
        <x:v>0</x:v>
      </x:c>
      <x:c r="O89" s="19" t="n">
        <x:f>IFERROR($B89*G89/$J89,0)</x:f>
        <x:v>0</x:v>
      </x:c>
      <x:c r="P89" s="19" t="n">
        <x:f>IFERROR($B89*I89/$J89,0)</x:f>
        <x:v>0</x:v>
      </x:c>
    </x:row>
    <x:row r="90">
      <x:c r="A90" s="24"/>
      <x:c r="B90" s="25"/>
      <x:c r="C90" s="25"/>
      <x:c r="D90" s="19" t="n">
        <x:f>D89+K89+IF($A90=DATE(2026,6,1),14136.37,0)-IF($A90=DATE(2026,6,16),7878.665*'分摊计算'!$C$4,0)-IF($A90=DATE(2026,6,17),7878.665*'分摊计算'!$C$4,0)</x:f>
        <x:v>3724.124950563409</x:v>
      </x:c>
      <x:c r="E90" s="19" t="n">
        <x:f>E89+L89+IF($A90=DATE(2026,6,1),5000,0)-IF($A90=DATE(2026,6,16),7878.665*'分摊计算'!$C$5,0)-IF($A90=DATE(2026,6,17),7878.665*'分摊计算'!$C$5,0)</x:f>
        <x:v>1317.2140197813897</x:v>
      </x:c>
      <x:c r="F90" s="19" t="n">
        <x:f>F89+M89+IF($A90=DATE(2026,6,1),7000,0)-IF($A90=DATE(2026,6,16),7878.665*'分摊计算'!$C$6,0)-IF($A90=DATE(2026,6,17),7878.665*'分摊计算'!$C$6,0)</x:f>
        <x:v>1844.0996276939454</x:v>
      </x:c>
      <x:c r="G90" s="19" t="n">
        <x:f>G89+O89+IF($A90=DATE(2026,6,1),1500,0)</x:f>
        <x:v>1430.926467891628</x:v>
      </x:c>
      <x:c r="H90" s="19" t="n">
        <x:f>H89+N89+IF($A90=DATE(2026,6,15),6000,0)-IF($A90=DATE(2026,6,16),6000,0)+IF($A90=DATE(2026,6,16),10000,0)-IF($A90=DATE(2026,6,17),3300,0)-IF($A90=DATE(2026,6,22),5000,0)</x:f>
        <x:v>3071.958050211922</x:v>
      </x:c>
      <x:c r="I90" s="19" t="n">
        <x:f>I89+P89+IF($A90=DATE(2026,6,17),9000,0)+IF($A90=DATE(2026,6,22),1000,0)</x:f>
        <x:v>11087.716883857707</x:v>
      </x:c>
      <x:c r="J90" s="19" t="n">
        <x:f>SUM(D90:I90)</x:f>
        <x:v>22476.04</x:v>
      </x:c>
      <x:c r="K90" s="19" t="n">
        <x:f>IFERROR($B90*D90/$J90,0)</x:f>
        <x:v>0</x:v>
      </x:c>
      <x:c r="L90" s="19" t="n">
        <x:f>IFERROR($B90*E90/$J90,0)</x:f>
        <x:v>0</x:v>
      </x:c>
      <x:c r="M90" s="19" t="n">
        <x:f>IFERROR($B90*F90/$J90,0)</x:f>
        <x:v>0</x:v>
      </x:c>
      <x:c r="N90" s="19" t="n">
        <x:f>IFERROR($B90*H90/$J90,0)</x:f>
        <x:v>0</x:v>
      </x:c>
      <x:c r="O90" s="19" t="n">
        <x:f>IFERROR($B90*G90/$J90,0)</x:f>
        <x:v>0</x:v>
      </x:c>
      <x:c r="P90" s="19" t="n">
        <x:f>IFERROR($B90*I90/$J90,0)</x:f>
        <x:v>0</x:v>
      </x:c>
    </x:row>
    <x:row r="91">
      <x:c r="A91" s="24"/>
      <x:c r="B91" s="25"/>
      <x:c r="C91" s="25"/>
      <x:c r="D91" s="19" t="n">
        <x:f>D90+K90+IF($A91=DATE(2026,6,1),14136.37,0)-IF($A91=DATE(2026,6,16),7878.665*'分摊计算'!$C$4,0)-IF($A91=DATE(2026,6,17),7878.665*'分摊计算'!$C$4,0)</x:f>
        <x:v>3724.124950563409</x:v>
      </x:c>
      <x:c r="E91" s="19" t="n">
        <x:f>E90+L90+IF($A91=DATE(2026,6,1),5000,0)-IF($A91=DATE(2026,6,16),7878.665*'分摊计算'!$C$5,0)-IF($A91=DATE(2026,6,17),7878.665*'分摊计算'!$C$5,0)</x:f>
        <x:v>1317.2140197813897</x:v>
      </x:c>
      <x:c r="F91" s="19" t="n">
        <x:f>F90+M90+IF($A91=DATE(2026,6,1),7000,0)-IF($A91=DATE(2026,6,16),7878.665*'分摊计算'!$C$6,0)-IF($A91=DATE(2026,6,17),7878.665*'分摊计算'!$C$6,0)</x:f>
        <x:v>1844.0996276939454</x:v>
      </x:c>
      <x:c r="G91" s="19" t="n">
        <x:f>G90+O90+IF($A91=DATE(2026,6,1),1500,0)</x:f>
        <x:v>1430.926467891628</x:v>
      </x:c>
      <x:c r="H91" s="19" t="n">
        <x:f>H90+N90+IF($A91=DATE(2026,6,15),6000,0)-IF($A91=DATE(2026,6,16),6000,0)+IF($A91=DATE(2026,6,16),10000,0)-IF($A91=DATE(2026,6,17),3300,0)-IF($A91=DATE(2026,6,22),5000,0)</x:f>
        <x:v>3071.958050211922</x:v>
      </x:c>
      <x:c r="I91" s="19" t="n">
        <x:f>I90+P90+IF($A91=DATE(2026,6,17),9000,0)+IF($A91=DATE(2026,6,22),1000,0)</x:f>
        <x:v>11087.716883857707</x:v>
      </x:c>
      <x:c r="J91" s="19" t="n">
        <x:f>SUM(D91:I91)</x:f>
        <x:v>22476.04</x:v>
      </x:c>
      <x:c r="K91" s="19" t="n">
        <x:f>IFERROR($B91*D91/$J91,0)</x:f>
        <x:v>0</x:v>
      </x:c>
      <x:c r="L91" s="19" t="n">
        <x:f>IFERROR($B91*E91/$J91,0)</x:f>
        <x:v>0</x:v>
      </x:c>
      <x:c r="M91" s="19" t="n">
        <x:f>IFERROR($B91*F91/$J91,0)</x:f>
        <x:v>0</x:v>
      </x:c>
      <x:c r="N91" s="19" t="n">
        <x:f>IFERROR($B91*H91/$J91,0)</x:f>
        <x:v>0</x:v>
      </x:c>
      <x:c r="O91" s="19" t="n">
        <x:f>IFERROR($B91*G91/$J91,0)</x:f>
        <x:v>0</x:v>
      </x:c>
      <x:c r="P91" s="19" t="n">
        <x:f>IFERROR($B91*I91/$J91,0)</x:f>
        <x:v>0</x:v>
      </x:c>
    </x:row>
    <x:row r="92">
      <x:c r="A92" s="24"/>
      <x:c r="B92" s="25"/>
      <x:c r="C92" s="25"/>
      <x:c r="D92" s="19" t="n">
        <x:f>D91+K91+IF($A92=DATE(2026,6,1),14136.37,0)-IF($A92=DATE(2026,6,16),7878.665*'分摊计算'!$C$4,0)-IF($A92=DATE(2026,6,17),7878.665*'分摊计算'!$C$4,0)</x:f>
        <x:v>3724.124950563409</x:v>
      </x:c>
      <x:c r="E92" s="19" t="n">
        <x:f>E91+L91+IF($A92=DATE(2026,6,1),5000,0)-IF($A92=DATE(2026,6,16),7878.665*'分摊计算'!$C$5,0)-IF($A92=DATE(2026,6,17),7878.665*'分摊计算'!$C$5,0)</x:f>
        <x:v>1317.2140197813897</x:v>
      </x:c>
      <x:c r="F92" s="19" t="n">
        <x:f>F91+M91+IF($A92=DATE(2026,6,1),7000,0)-IF($A92=DATE(2026,6,16),7878.665*'分摊计算'!$C$6,0)-IF($A92=DATE(2026,6,17),7878.665*'分摊计算'!$C$6,0)</x:f>
        <x:v>1844.0996276939454</x:v>
      </x:c>
      <x:c r="G92" s="19" t="n">
        <x:f>G91+O91+IF($A92=DATE(2026,6,1),1500,0)</x:f>
        <x:v>1430.926467891628</x:v>
      </x:c>
      <x:c r="H92" s="19" t="n">
        <x:f>H91+N91+IF($A92=DATE(2026,6,15),6000,0)-IF($A92=DATE(2026,6,16),6000,0)+IF($A92=DATE(2026,6,16),10000,0)-IF($A92=DATE(2026,6,17),3300,0)-IF($A92=DATE(2026,6,22),5000,0)</x:f>
        <x:v>3071.958050211922</x:v>
      </x:c>
      <x:c r="I92" s="19" t="n">
        <x:f>I91+P91+IF($A92=DATE(2026,6,17),9000,0)+IF($A92=DATE(2026,6,22),1000,0)</x:f>
        <x:v>11087.716883857707</x:v>
      </x:c>
      <x:c r="J92" s="19" t="n">
        <x:f>SUM(D92:I92)</x:f>
        <x:v>22476.04</x:v>
      </x:c>
      <x:c r="K92" s="19" t="n">
        <x:f>IFERROR($B92*D92/$J92,0)</x:f>
        <x:v>0</x:v>
      </x:c>
      <x:c r="L92" s="19" t="n">
        <x:f>IFERROR($B92*E92/$J92,0)</x:f>
        <x:v>0</x:v>
      </x:c>
      <x:c r="M92" s="19" t="n">
        <x:f>IFERROR($B92*F92/$J92,0)</x:f>
        <x:v>0</x:v>
      </x:c>
      <x:c r="N92" s="19" t="n">
        <x:f>IFERROR($B92*H92/$J92,0)</x:f>
        <x:v>0</x:v>
      </x:c>
      <x:c r="O92" s="19" t="n">
        <x:f>IFERROR($B92*G92/$J92,0)</x:f>
        <x:v>0</x:v>
      </x:c>
      <x:c r="P92" s="19" t="n">
        <x:f>IFERROR($B92*I92/$J92,0)</x:f>
        <x:v>0</x:v>
      </x:c>
    </x:row>
    <x:row r="93">
      <x:c r="A93" s="24"/>
      <x:c r="B93" s="25"/>
      <x:c r="C93" s="25"/>
      <x:c r="D93" s="19" t="n">
        <x:f>D92+K92+IF($A93=DATE(2026,6,1),14136.37,0)-IF($A93=DATE(2026,6,16),7878.665*'分摊计算'!$C$4,0)-IF($A93=DATE(2026,6,17),7878.665*'分摊计算'!$C$4,0)</x:f>
        <x:v>3724.124950563409</x:v>
      </x:c>
      <x:c r="E93" s="19" t="n">
        <x:f>E92+L92+IF($A93=DATE(2026,6,1),5000,0)-IF($A93=DATE(2026,6,16),7878.665*'分摊计算'!$C$5,0)-IF($A93=DATE(2026,6,17),7878.665*'分摊计算'!$C$5,0)</x:f>
        <x:v>1317.2140197813897</x:v>
      </x:c>
      <x:c r="F93" s="19" t="n">
        <x:f>F92+M92+IF($A93=DATE(2026,6,1),7000,0)-IF($A93=DATE(2026,6,16),7878.665*'分摊计算'!$C$6,0)-IF($A93=DATE(2026,6,17),7878.665*'分摊计算'!$C$6,0)</x:f>
        <x:v>1844.0996276939454</x:v>
      </x:c>
      <x:c r="G93" s="19" t="n">
        <x:f>G92+O92+IF($A93=DATE(2026,6,1),1500,0)</x:f>
        <x:v>1430.926467891628</x:v>
      </x:c>
      <x:c r="H93" s="19" t="n">
        <x:f>H92+N92+IF($A93=DATE(2026,6,15),6000,0)-IF($A93=DATE(2026,6,16),6000,0)+IF($A93=DATE(2026,6,16),10000,0)-IF($A93=DATE(2026,6,17),3300,0)-IF($A93=DATE(2026,6,22),5000,0)</x:f>
        <x:v>3071.958050211922</x:v>
      </x:c>
      <x:c r="I93" s="19" t="n">
        <x:f>I92+P92+IF($A93=DATE(2026,6,17),9000,0)+IF($A93=DATE(2026,6,22),1000,0)</x:f>
        <x:v>11087.716883857707</x:v>
      </x:c>
      <x:c r="J93" s="19" t="n">
        <x:f>SUM(D93:I93)</x:f>
        <x:v>22476.04</x:v>
      </x:c>
      <x:c r="K93" s="19" t="n">
        <x:f>IFERROR($B93*D93/$J93,0)</x:f>
        <x:v>0</x:v>
      </x:c>
      <x:c r="L93" s="19" t="n">
        <x:f>IFERROR($B93*E93/$J93,0)</x:f>
        <x:v>0</x:v>
      </x:c>
      <x:c r="M93" s="19" t="n">
        <x:f>IFERROR($B93*F93/$J93,0)</x:f>
        <x:v>0</x:v>
      </x:c>
      <x:c r="N93" s="19" t="n">
        <x:f>IFERROR($B93*H93/$J93,0)</x:f>
        <x:v>0</x:v>
      </x:c>
      <x:c r="O93" s="19" t="n">
        <x:f>IFERROR($B93*G93/$J93,0)</x:f>
        <x:v>0</x:v>
      </x:c>
      <x:c r="P93" s="19" t="n">
        <x:f>IFERROR($B93*I93/$J93,0)</x:f>
        <x:v>0</x:v>
      </x:c>
    </x:row>
    <x:row r="94">
      <x:c r="A94" s="24"/>
      <x:c r="B94" s="25"/>
      <x:c r="C94" s="25"/>
      <x:c r="D94" s="19" t="n">
        <x:f>D93+K93+IF($A94=DATE(2026,6,1),14136.37,0)-IF($A94=DATE(2026,6,16),7878.665*'分摊计算'!$C$4,0)-IF($A94=DATE(2026,6,17),7878.665*'分摊计算'!$C$4,0)</x:f>
        <x:v>3724.124950563409</x:v>
      </x:c>
      <x:c r="E94" s="19" t="n">
        <x:f>E93+L93+IF($A94=DATE(2026,6,1),5000,0)-IF($A94=DATE(2026,6,16),7878.665*'分摊计算'!$C$5,0)-IF($A94=DATE(2026,6,17),7878.665*'分摊计算'!$C$5,0)</x:f>
        <x:v>1317.2140197813897</x:v>
      </x:c>
      <x:c r="F94" s="19" t="n">
        <x:f>F93+M93+IF($A94=DATE(2026,6,1),7000,0)-IF($A94=DATE(2026,6,16),7878.665*'分摊计算'!$C$6,0)-IF($A94=DATE(2026,6,17),7878.665*'分摊计算'!$C$6,0)</x:f>
        <x:v>1844.0996276939454</x:v>
      </x:c>
      <x:c r="G94" s="19" t="n">
        <x:f>G93+O93+IF($A94=DATE(2026,6,1),1500,0)</x:f>
        <x:v>1430.926467891628</x:v>
      </x:c>
      <x:c r="H94" s="19" t="n">
        <x:f>H93+N93+IF($A94=DATE(2026,6,15),6000,0)-IF($A94=DATE(2026,6,16),6000,0)+IF($A94=DATE(2026,6,16),10000,0)-IF($A94=DATE(2026,6,17),3300,0)-IF($A94=DATE(2026,6,22),5000,0)</x:f>
        <x:v>3071.958050211922</x:v>
      </x:c>
      <x:c r="I94" s="19" t="n">
        <x:f>I93+P93+IF($A94=DATE(2026,6,17),9000,0)+IF($A94=DATE(2026,6,22),1000,0)</x:f>
        <x:v>11087.716883857707</x:v>
      </x:c>
      <x:c r="J94" s="19" t="n">
        <x:f>SUM(D94:I94)</x:f>
        <x:v>22476.04</x:v>
      </x:c>
      <x:c r="K94" s="19" t="n">
        <x:f>IFERROR($B94*D94/$J94,0)</x:f>
        <x:v>0</x:v>
      </x:c>
      <x:c r="L94" s="19" t="n">
        <x:f>IFERROR($B94*E94/$J94,0)</x:f>
        <x:v>0</x:v>
      </x:c>
      <x:c r="M94" s="19" t="n">
        <x:f>IFERROR($B94*F94/$J94,0)</x:f>
        <x:v>0</x:v>
      </x:c>
      <x:c r="N94" s="19" t="n">
        <x:f>IFERROR($B94*H94/$J94,0)</x:f>
        <x:v>0</x:v>
      </x:c>
      <x:c r="O94" s="19" t="n">
        <x:f>IFERROR($B94*G94/$J94,0)</x:f>
        <x:v>0</x:v>
      </x:c>
      <x:c r="P94" s="19" t="n">
        <x:f>IFERROR($B94*I94/$J94,0)</x:f>
        <x:v>0</x:v>
      </x:c>
    </x:row>
    <x:row r="95">
      <x:c r="A95" s="24"/>
      <x:c r="B95" s="25"/>
      <x:c r="C95" s="25"/>
      <x:c r="D95" s="19" t="n">
        <x:f>D94+K94+IF($A95=DATE(2026,6,1),14136.37,0)-IF($A95=DATE(2026,6,16),7878.665*'分摊计算'!$C$4,0)-IF($A95=DATE(2026,6,17),7878.665*'分摊计算'!$C$4,0)</x:f>
        <x:v>3724.124950563409</x:v>
      </x:c>
      <x:c r="E95" s="19" t="n">
        <x:f>E94+L94+IF($A95=DATE(2026,6,1),5000,0)-IF($A95=DATE(2026,6,16),7878.665*'分摊计算'!$C$5,0)-IF($A95=DATE(2026,6,17),7878.665*'分摊计算'!$C$5,0)</x:f>
        <x:v>1317.2140197813897</x:v>
      </x:c>
      <x:c r="F95" s="19" t="n">
        <x:f>F94+M94+IF($A95=DATE(2026,6,1),7000,0)-IF($A95=DATE(2026,6,16),7878.665*'分摊计算'!$C$6,0)-IF($A95=DATE(2026,6,17),7878.665*'分摊计算'!$C$6,0)</x:f>
        <x:v>1844.0996276939454</x:v>
      </x:c>
      <x:c r="G95" s="19" t="n">
        <x:f>G94+O94+IF($A95=DATE(2026,6,1),1500,0)</x:f>
        <x:v>1430.926467891628</x:v>
      </x:c>
      <x:c r="H95" s="19" t="n">
        <x:f>H94+N94+IF($A95=DATE(2026,6,15),6000,0)-IF($A95=DATE(2026,6,16),6000,0)+IF($A95=DATE(2026,6,16),10000,0)-IF($A95=DATE(2026,6,17),3300,0)-IF($A95=DATE(2026,6,22),5000,0)</x:f>
        <x:v>3071.958050211922</x:v>
      </x:c>
      <x:c r="I95" s="19" t="n">
        <x:f>I94+P94+IF($A95=DATE(2026,6,17),9000,0)+IF($A95=DATE(2026,6,22),1000,0)</x:f>
        <x:v>11087.716883857707</x:v>
      </x:c>
      <x:c r="J95" s="19" t="n">
        <x:f>SUM(D95:I95)</x:f>
        <x:v>22476.04</x:v>
      </x:c>
      <x:c r="K95" s="19" t="n">
        <x:f>IFERROR($B95*D95/$J95,0)</x:f>
        <x:v>0</x:v>
      </x:c>
      <x:c r="L95" s="19" t="n">
        <x:f>IFERROR($B95*E95/$J95,0)</x:f>
        <x:v>0</x:v>
      </x:c>
      <x:c r="M95" s="19" t="n">
        <x:f>IFERROR($B95*F95/$J95,0)</x:f>
        <x:v>0</x:v>
      </x:c>
      <x:c r="N95" s="19" t="n">
        <x:f>IFERROR($B95*H95/$J95,0)</x:f>
        <x:v>0</x:v>
      </x:c>
      <x:c r="O95" s="19" t="n">
        <x:f>IFERROR($B95*G95/$J95,0)</x:f>
        <x:v>0</x:v>
      </x:c>
      <x:c r="P95" s="19" t="n">
        <x:f>IFERROR($B95*I95/$J95,0)</x:f>
        <x:v>0</x:v>
      </x:c>
    </x:row>
    <x:row r="96">
      <x:c r="A96" s="24"/>
      <x:c r="B96" s="25"/>
      <x:c r="C96" s="25"/>
      <x:c r="D96" s="19" t="n">
        <x:f>D95+K95+IF($A96=DATE(2026,6,1),14136.37,0)-IF($A96=DATE(2026,6,16),7878.665*'分摊计算'!$C$4,0)-IF($A96=DATE(2026,6,17),7878.665*'分摊计算'!$C$4,0)</x:f>
        <x:v>3724.124950563409</x:v>
      </x:c>
      <x:c r="E96" s="19" t="n">
        <x:f>E95+L95+IF($A96=DATE(2026,6,1),5000,0)-IF($A96=DATE(2026,6,16),7878.665*'分摊计算'!$C$5,0)-IF($A96=DATE(2026,6,17),7878.665*'分摊计算'!$C$5,0)</x:f>
        <x:v>1317.2140197813897</x:v>
      </x:c>
      <x:c r="F96" s="19" t="n">
        <x:f>F95+M95+IF($A96=DATE(2026,6,1),7000,0)-IF($A96=DATE(2026,6,16),7878.665*'分摊计算'!$C$6,0)-IF($A96=DATE(2026,6,17),7878.665*'分摊计算'!$C$6,0)</x:f>
        <x:v>1844.0996276939454</x:v>
      </x:c>
      <x:c r="G96" s="19" t="n">
        <x:f>G95+O95+IF($A96=DATE(2026,6,1),1500,0)</x:f>
        <x:v>1430.926467891628</x:v>
      </x:c>
      <x:c r="H96" s="19" t="n">
        <x:f>H95+N95+IF($A96=DATE(2026,6,15),6000,0)-IF($A96=DATE(2026,6,16),6000,0)+IF($A96=DATE(2026,6,16),10000,0)-IF($A96=DATE(2026,6,17),3300,0)-IF($A96=DATE(2026,6,22),5000,0)</x:f>
        <x:v>3071.958050211922</x:v>
      </x:c>
      <x:c r="I96" s="19" t="n">
        <x:f>I95+P95+IF($A96=DATE(2026,6,17),9000,0)+IF($A96=DATE(2026,6,22),1000,0)</x:f>
        <x:v>11087.716883857707</x:v>
      </x:c>
      <x:c r="J96" s="19" t="n">
        <x:f>SUM(D96:I96)</x:f>
        <x:v>22476.04</x:v>
      </x:c>
      <x:c r="K96" s="19" t="n">
        <x:f>IFERROR($B96*D96/$J96,0)</x:f>
        <x:v>0</x:v>
      </x:c>
      <x:c r="L96" s="19" t="n">
        <x:f>IFERROR($B96*E96/$J96,0)</x:f>
        <x:v>0</x:v>
      </x:c>
      <x:c r="M96" s="19" t="n">
        <x:f>IFERROR($B96*F96/$J96,0)</x:f>
        <x:v>0</x:v>
      </x:c>
      <x:c r="N96" s="19" t="n">
        <x:f>IFERROR($B96*H96/$J96,0)</x:f>
        <x:v>0</x:v>
      </x:c>
      <x:c r="O96" s="19" t="n">
        <x:f>IFERROR($B96*G96/$J96,0)</x:f>
        <x:v>0</x:v>
      </x:c>
      <x:c r="P96" s="19" t="n">
        <x:f>IFERROR($B96*I96/$J96,0)</x:f>
        <x:v>0</x:v>
      </x:c>
    </x:row>
    <x:row r="97">
      <x:c r="A97" s="24"/>
      <x:c r="B97" s="25"/>
      <x:c r="C97" s="25"/>
      <x:c r="D97" s="19" t="n">
        <x:f>D96+K96+IF($A97=DATE(2026,6,1),14136.37,0)-IF($A97=DATE(2026,6,16),7878.665*'分摊计算'!$C$4,0)-IF($A97=DATE(2026,6,17),7878.665*'分摊计算'!$C$4,0)</x:f>
        <x:v>3724.124950563409</x:v>
      </x:c>
      <x:c r="E97" s="19" t="n">
        <x:f>E96+L96+IF($A97=DATE(2026,6,1),5000,0)-IF($A97=DATE(2026,6,16),7878.665*'分摊计算'!$C$5,0)-IF($A97=DATE(2026,6,17),7878.665*'分摊计算'!$C$5,0)</x:f>
        <x:v>1317.2140197813897</x:v>
      </x:c>
      <x:c r="F97" s="19" t="n">
        <x:f>F96+M96+IF($A97=DATE(2026,6,1),7000,0)-IF($A97=DATE(2026,6,16),7878.665*'分摊计算'!$C$6,0)-IF($A97=DATE(2026,6,17),7878.665*'分摊计算'!$C$6,0)</x:f>
        <x:v>1844.0996276939454</x:v>
      </x:c>
      <x:c r="G97" s="19" t="n">
        <x:f>G96+O96+IF($A97=DATE(2026,6,1),1500,0)</x:f>
        <x:v>1430.926467891628</x:v>
      </x:c>
      <x:c r="H97" s="19" t="n">
        <x:f>H96+N96+IF($A97=DATE(2026,6,15),6000,0)-IF($A97=DATE(2026,6,16),6000,0)+IF($A97=DATE(2026,6,16),10000,0)-IF($A97=DATE(2026,6,17),3300,0)-IF($A97=DATE(2026,6,22),5000,0)</x:f>
        <x:v>3071.958050211922</x:v>
      </x:c>
      <x:c r="I97" s="19" t="n">
        <x:f>I96+P96+IF($A97=DATE(2026,6,17),9000,0)+IF($A97=DATE(2026,6,22),1000,0)</x:f>
        <x:v>11087.716883857707</x:v>
      </x:c>
      <x:c r="J97" s="19" t="n">
        <x:f>SUM(D97:I97)</x:f>
        <x:v>22476.04</x:v>
      </x:c>
      <x:c r="K97" s="19" t="n">
        <x:f>IFERROR($B97*D97/$J97,0)</x:f>
        <x:v>0</x:v>
      </x:c>
      <x:c r="L97" s="19" t="n">
        <x:f>IFERROR($B97*E97/$J97,0)</x:f>
        <x:v>0</x:v>
      </x:c>
      <x:c r="M97" s="19" t="n">
        <x:f>IFERROR($B97*F97/$J97,0)</x:f>
        <x:v>0</x:v>
      </x:c>
      <x:c r="N97" s="19" t="n">
        <x:f>IFERROR($B97*H97/$J97,0)</x:f>
        <x:v>0</x:v>
      </x:c>
      <x:c r="O97" s="19" t="n">
        <x:f>IFERROR($B97*G97/$J97,0)</x:f>
        <x:v>0</x:v>
      </x:c>
      <x:c r="P97" s="19" t="n">
        <x:f>IFERROR($B97*I97/$J97,0)</x:f>
        <x:v>0</x:v>
      </x:c>
    </x:row>
    <x:row r="98">
      <x:c r="A98" s="24"/>
      <x:c r="B98" s="25"/>
      <x:c r="C98" s="25"/>
      <x:c r="D98" s="19" t="n">
        <x:f>D97+K97+IF($A98=DATE(2026,6,1),14136.37,0)-IF($A98=DATE(2026,6,16),7878.665*'分摊计算'!$C$4,0)-IF($A98=DATE(2026,6,17),7878.665*'分摊计算'!$C$4,0)</x:f>
        <x:v>3724.124950563409</x:v>
      </x:c>
      <x:c r="E98" s="19" t="n">
        <x:f>E97+L97+IF($A98=DATE(2026,6,1),5000,0)-IF($A98=DATE(2026,6,16),7878.665*'分摊计算'!$C$5,0)-IF($A98=DATE(2026,6,17),7878.665*'分摊计算'!$C$5,0)</x:f>
        <x:v>1317.2140197813897</x:v>
      </x:c>
      <x:c r="F98" s="19" t="n">
        <x:f>F97+M97+IF($A98=DATE(2026,6,1),7000,0)-IF($A98=DATE(2026,6,16),7878.665*'分摊计算'!$C$6,0)-IF($A98=DATE(2026,6,17),7878.665*'分摊计算'!$C$6,0)</x:f>
        <x:v>1844.0996276939454</x:v>
      </x:c>
      <x:c r="G98" s="19" t="n">
        <x:f>G97+O97+IF($A98=DATE(2026,6,1),1500,0)</x:f>
        <x:v>1430.926467891628</x:v>
      </x:c>
      <x:c r="H98" s="19" t="n">
        <x:f>H97+N97+IF($A98=DATE(2026,6,15),6000,0)-IF($A98=DATE(2026,6,16),6000,0)+IF($A98=DATE(2026,6,16),10000,0)-IF($A98=DATE(2026,6,17),3300,0)-IF($A98=DATE(2026,6,22),5000,0)</x:f>
        <x:v>3071.958050211922</x:v>
      </x:c>
      <x:c r="I98" s="19" t="n">
        <x:f>I97+P97+IF($A98=DATE(2026,6,17),9000,0)+IF($A98=DATE(2026,6,22),1000,0)</x:f>
        <x:v>11087.716883857707</x:v>
      </x:c>
      <x:c r="J98" s="19" t="n">
        <x:f>SUM(D98:I98)</x:f>
        <x:v>22476.04</x:v>
      </x:c>
      <x:c r="K98" s="19" t="n">
        <x:f>IFERROR($B98*D98/$J98,0)</x:f>
        <x:v>0</x:v>
      </x:c>
      <x:c r="L98" s="19" t="n">
        <x:f>IFERROR($B98*E98/$J98,0)</x:f>
        <x:v>0</x:v>
      </x:c>
      <x:c r="M98" s="19" t="n">
        <x:f>IFERROR($B98*F98/$J98,0)</x:f>
        <x:v>0</x:v>
      </x:c>
      <x:c r="N98" s="19" t="n">
        <x:f>IFERROR($B98*H98/$J98,0)</x:f>
        <x:v>0</x:v>
      </x:c>
      <x:c r="O98" s="19" t="n">
        <x:f>IFERROR($B98*G98/$J98,0)</x:f>
        <x:v>0</x:v>
      </x:c>
      <x:c r="P98" s="19" t="n">
        <x:f>IFERROR($B98*I98/$J98,0)</x:f>
        <x:v>0</x:v>
      </x:c>
    </x:row>
    <x:row r="99">
      <x:c r="A99" s="24"/>
      <x:c r="B99" s="25"/>
      <x:c r="C99" s="25"/>
      <x:c r="D99" s="19" t="n">
        <x:f>D98+K98+IF($A99=DATE(2026,6,1),14136.37,0)-IF($A99=DATE(2026,6,16),7878.665*'分摊计算'!$C$4,0)-IF($A99=DATE(2026,6,17),7878.665*'分摊计算'!$C$4,0)</x:f>
        <x:v>3724.124950563409</x:v>
      </x:c>
      <x:c r="E99" s="19" t="n">
        <x:f>E98+L98+IF($A99=DATE(2026,6,1),5000,0)-IF($A99=DATE(2026,6,16),7878.665*'分摊计算'!$C$5,0)-IF($A99=DATE(2026,6,17),7878.665*'分摊计算'!$C$5,0)</x:f>
        <x:v>1317.2140197813897</x:v>
      </x:c>
      <x:c r="F99" s="19" t="n">
        <x:f>F98+M98+IF($A99=DATE(2026,6,1),7000,0)-IF($A99=DATE(2026,6,16),7878.665*'分摊计算'!$C$6,0)-IF($A99=DATE(2026,6,17),7878.665*'分摊计算'!$C$6,0)</x:f>
        <x:v>1844.0996276939454</x:v>
      </x:c>
      <x:c r="G99" s="19" t="n">
        <x:f>G98+O98+IF($A99=DATE(2026,6,1),1500,0)</x:f>
        <x:v>1430.926467891628</x:v>
      </x:c>
      <x:c r="H99" s="19" t="n">
        <x:f>H98+N98+IF($A99=DATE(2026,6,15),6000,0)-IF($A99=DATE(2026,6,16),6000,0)+IF($A99=DATE(2026,6,16),10000,0)-IF($A99=DATE(2026,6,17),3300,0)-IF($A99=DATE(2026,6,22),5000,0)</x:f>
        <x:v>3071.958050211922</x:v>
      </x:c>
      <x:c r="I99" s="19" t="n">
        <x:f>I98+P98+IF($A99=DATE(2026,6,17),9000,0)+IF($A99=DATE(2026,6,22),1000,0)</x:f>
        <x:v>11087.716883857707</x:v>
      </x:c>
      <x:c r="J99" s="19" t="n">
        <x:f>SUM(D99:I99)</x:f>
        <x:v>22476.04</x:v>
      </x:c>
      <x:c r="K99" s="19" t="n">
        <x:f>IFERROR($B99*D99/$J99,0)</x:f>
        <x:v>0</x:v>
      </x:c>
      <x:c r="L99" s="19" t="n">
        <x:f>IFERROR($B99*E99/$J99,0)</x:f>
        <x:v>0</x:v>
      </x:c>
      <x:c r="M99" s="19" t="n">
        <x:f>IFERROR($B99*F99/$J99,0)</x:f>
        <x:v>0</x:v>
      </x:c>
      <x:c r="N99" s="19" t="n">
        <x:f>IFERROR($B99*H99/$J99,0)</x:f>
        <x:v>0</x:v>
      </x:c>
      <x:c r="O99" s="19" t="n">
        <x:f>IFERROR($B99*G99/$J99,0)</x:f>
        <x:v>0</x:v>
      </x:c>
      <x:c r="P99" s="19" t="n">
        <x:f>IFERROR($B99*I99/$J99,0)</x:f>
        <x:v>0</x:v>
      </x:c>
    </x:row>
    <x:row r="100">
      <x:c r="A100" s="24"/>
      <x:c r="B100" s="25"/>
      <x:c r="C100" s="25"/>
      <x:c r="D100" s="19" t="n">
        <x:f>D99+K99+IF($A100=DATE(2026,6,1),14136.37,0)-IF($A100=DATE(2026,6,16),7878.665*'分摊计算'!$C$4,0)-IF($A100=DATE(2026,6,17),7878.665*'分摊计算'!$C$4,0)</x:f>
        <x:v>3724.124950563409</x:v>
      </x:c>
      <x:c r="E100" s="19" t="n">
        <x:f>E99+L99+IF($A100=DATE(2026,6,1),5000,0)-IF($A100=DATE(2026,6,16),7878.665*'分摊计算'!$C$5,0)-IF($A100=DATE(2026,6,17),7878.665*'分摊计算'!$C$5,0)</x:f>
        <x:v>1317.2140197813897</x:v>
      </x:c>
      <x:c r="F100" s="19" t="n">
        <x:f>F99+M99+IF($A100=DATE(2026,6,1),7000,0)-IF($A100=DATE(2026,6,16),7878.665*'分摊计算'!$C$6,0)-IF($A100=DATE(2026,6,17),7878.665*'分摊计算'!$C$6,0)</x:f>
        <x:v>1844.0996276939454</x:v>
      </x:c>
      <x:c r="G100" s="19" t="n">
        <x:f>G99+O99+IF($A100=DATE(2026,6,1),1500,0)</x:f>
        <x:v>1430.926467891628</x:v>
      </x:c>
      <x:c r="H100" s="19" t="n">
        <x:f>H99+N99+IF($A100=DATE(2026,6,15),6000,0)-IF($A100=DATE(2026,6,16),6000,0)+IF($A100=DATE(2026,6,16),10000,0)-IF($A100=DATE(2026,6,17),3300,0)-IF($A100=DATE(2026,6,22),5000,0)</x:f>
        <x:v>3071.958050211922</x:v>
      </x:c>
      <x:c r="I100" s="19" t="n">
        <x:f>I99+P99+IF($A100=DATE(2026,6,17),9000,0)+IF($A100=DATE(2026,6,22),1000,0)</x:f>
        <x:v>11087.716883857707</x:v>
      </x:c>
      <x:c r="J100" s="19" t="n">
        <x:f>SUM(D100:I100)</x:f>
        <x:v>22476.04</x:v>
      </x:c>
      <x:c r="K100" s="19" t="n">
        <x:f>IFERROR($B100*D100/$J100,0)</x:f>
        <x:v>0</x:v>
      </x:c>
      <x:c r="L100" s="19" t="n">
        <x:f>IFERROR($B100*E100/$J100,0)</x:f>
        <x:v>0</x:v>
      </x:c>
      <x:c r="M100" s="19" t="n">
        <x:f>IFERROR($B100*F100/$J100,0)</x:f>
        <x:v>0</x:v>
      </x:c>
      <x:c r="N100" s="19" t="n">
        <x:f>IFERROR($B100*H100/$J100,0)</x:f>
        <x:v>0</x:v>
      </x:c>
      <x:c r="O100" s="19" t="n">
        <x:f>IFERROR($B100*G100/$J100,0)</x:f>
        <x:v>0</x:v>
      </x:c>
      <x:c r="P100" s="19" t="n">
        <x:f>IFERROR($B100*I100/$J100,0)</x:f>
        <x:v>0</x:v>
      </x:c>
    </x:row>
    <x:row r="101">
      <x:c r="A101" s="24"/>
      <x:c r="B101" s="25"/>
      <x:c r="C101" s="25"/>
      <x:c r="D101" s="19" t="n">
        <x:f>D100+K100+IF($A101=DATE(2026,6,1),14136.37,0)-IF($A101=DATE(2026,6,16),7878.665*'分摊计算'!$C$4,0)-IF($A101=DATE(2026,6,17),7878.665*'分摊计算'!$C$4,0)</x:f>
        <x:v>3724.124950563409</x:v>
      </x:c>
      <x:c r="E101" s="19" t="n">
        <x:f>E100+L100+IF($A101=DATE(2026,6,1),5000,0)-IF($A101=DATE(2026,6,16),7878.665*'分摊计算'!$C$5,0)-IF($A101=DATE(2026,6,17),7878.665*'分摊计算'!$C$5,0)</x:f>
        <x:v>1317.2140197813897</x:v>
      </x:c>
      <x:c r="F101" s="19" t="n">
        <x:f>F100+M100+IF($A101=DATE(2026,6,1),7000,0)-IF($A101=DATE(2026,6,16),7878.665*'分摊计算'!$C$6,0)-IF($A101=DATE(2026,6,17),7878.665*'分摊计算'!$C$6,0)</x:f>
        <x:v>1844.0996276939454</x:v>
      </x:c>
      <x:c r="G101" s="19" t="n">
        <x:f>G100+O100+IF($A101=DATE(2026,6,1),1500,0)</x:f>
        <x:v>1430.926467891628</x:v>
      </x:c>
      <x:c r="H101" s="19" t="n">
        <x:f>H100+N100+IF($A101=DATE(2026,6,15),6000,0)-IF($A101=DATE(2026,6,16),6000,0)+IF($A101=DATE(2026,6,16),10000,0)-IF($A101=DATE(2026,6,17),3300,0)-IF($A101=DATE(2026,6,22),5000,0)</x:f>
        <x:v>3071.958050211922</x:v>
      </x:c>
      <x:c r="I101" s="19" t="n">
        <x:f>I100+P100+IF($A101=DATE(2026,6,17),9000,0)+IF($A101=DATE(2026,6,22),1000,0)</x:f>
        <x:v>11087.716883857707</x:v>
      </x:c>
      <x:c r="J101" s="19" t="n">
        <x:f>SUM(D101:I101)</x:f>
        <x:v>22476.04</x:v>
      </x:c>
      <x:c r="K101" s="19" t="n">
        <x:f>IFERROR($B101*D101/$J101,0)</x:f>
        <x:v>0</x:v>
      </x:c>
      <x:c r="L101" s="19" t="n">
        <x:f>IFERROR($B101*E101/$J101,0)</x:f>
        <x:v>0</x:v>
      </x:c>
      <x:c r="M101" s="19" t="n">
        <x:f>IFERROR($B101*F101/$J101,0)</x:f>
        <x:v>0</x:v>
      </x:c>
      <x:c r="N101" s="19" t="n">
        <x:f>IFERROR($B101*H101/$J101,0)</x:f>
        <x:v>0</x:v>
      </x:c>
      <x:c r="O101" s="19" t="n">
        <x:f>IFERROR($B101*G101/$J101,0)</x:f>
        <x:v>0</x:v>
      </x:c>
      <x:c r="P101" s="19" t="n">
        <x:f>IFERROR($B101*I101/$J101,0)</x:f>
        <x:v>0</x:v>
      </x:c>
    </x:row>
    <x:row r="102">
      <x:c r="A102" s="24"/>
      <x:c r="B102" s="25"/>
      <x:c r="C102" s="25"/>
      <x:c r="D102" s="19" t="n">
        <x:f>D101+K101+IF($A102=DATE(2026,6,1),14136.37,0)-IF($A102=DATE(2026,6,16),7878.665*'分摊计算'!$C$4,0)-IF($A102=DATE(2026,6,17),7878.665*'分摊计算'!$C$4,0)</x:f>
        <x:v>3724.124950563409</x:v>
      </x:c>
      <x:c r="E102" s="19" t="n">
        <x:f>E101+L101+IF($A102=DATE(2026,6,1),5000,0)-IF($A102=DATE(2026,6,16),7878.665*'分摊计算'!$C$5,0)-IF($A102=DATE(2026,6,17),7878.665*'分摊计算'!$C$5,0)</x:f>
        <x:v>1317.2140197813897</x:v>
      </x:c>
      <x:c r="F102" s="19" t="n">
        <x:f>F101+M101+IF($A102=DATE(2026,6,1),7000,0)-IF($A102=DATE(2026,6,16),7878.665*'分摊计算'!$C$6,0)-IF($A102=DATE(2026,6,17),7878.665*'分摊计算'!$C$6,0)</x:f>
        <x:v>1844.0996276939454</x:v>
      </x:c>
      <x:c r="G102" s="19" t="n">
        <x:f>G101+O101+IF($A102=DATE(2026,6,1),1500,0)</x:f>
        <x:v>1430.926467891628</x:v>
      </x:c>
      <x:c r="H102" s="19" t="n">
        <x:f>H101+N101+IF($A102=DATE(2026,6,15),6000,0)-IF($A102=DATE(2026,6,16),6000,0)+IF($A102=DATE(2026,6,16),10000,0)-IF($A102=DATE(2026,6,17),3300,0)-IF($A102=DATE(2026,6,22),5000,0)</x:f>
        <x:v>3071.958050211922</x:v>
      </x:c>
      <x:c r="I102" s="19" t="n">
        <x:f>I101+P101+IF($A102=DATE(2026,6,17),9000,0)+IF($A102=DATE(2026,6,22),1000,0)</x:f>
        <x:v>11087.716883857707</x:v>
      </x:c>
      <x:c r="J102" s="19" t="n">
        <x:f>SUM(D102:I102)</x:f>
        <x:v>22476.04</x:v>
      </x:c>
      <x:c r="K102" s="19" t="n">
        <x:f>IFERROR($B102*D102/$J102,0)</x:f>
        <x:v>0</x:v>
      </x:c>
      <x:c r="L102" s="19" t="n">
        <x:f>IFERROR($B102*E102/$J102,0)</x:f>
        <x:v>0</x:v>
      </x:c>
      <x:c r="M102" s="19" t="n">
        <x:f>IFERROR($B102*F102/$J102,0)</x:f>
        <x:v>0</x:v>
      </x:c>
      <x:c r="N102" s="19" t="n">
        <x:f>IFERROR($B102*H102/$J102,0)</x:f>
        <x:v>0</x:v>
      </x:c>
      <x:c r="O102" s="19" t="n">
        <x:f>IFERROR($B102*G102/$J102,0)</x:f>
        <x:v>0</x:v>
      </x:c>
      <x:c r="P102" s="19" t="n">
        <x:f>IFERROR($B102*I102/$J102,0)</x:f>
        <x:v>0</x:v>
      </x:c>
    </x:row>
    <x:row r="103">
      <x:c r="A103" s="24"/>
      <x:c r="B103" s="25"/>
      <x:c r="C103" s="25"/>
      <x:c r="D103" s="19" t="n">
        <x:f>D102+K102+IF($A103=DATE(2026,6,1),14136.37,0)-IF($A103=DATE(2026,6,16),7878.665*'分摊计算'!$C$4,0)-IF($A103=DATE(2026,6,17),7878.665*'分摊计算'!$C$4,0)</x:f>
        <x:v>3724.124950563409</x:v>
      </x:c>
      <x:c r="E103" s="19" t="n">
        <x:f>E102+L102+IF($A103=DATE(2026,6,1),5000,0)-IF($A103=DATE(2026,6,16),7878.665*'分摊计算'!$C$5,0)-IF($A103=DATE(2026,6,17),7878.665*'分摊计算'!$C$5,0)</x:f>
        <x:v>1317.2140197813897</x:v>
      </x:c>
      <x:c r="F103" s="19" t="n">
        <x:f>F102+M102+IF($A103=DATE(2026,6,1),7000,0)-IF($A103=DATE(2026,6,16),7878.665*'分摊计算'!$C$6,0)-IF($A103=DATE(2026,6,17),7878.665*'分摊计算'!$C$6,0)</x:f>
        <x:v>1844.0996276939454</x:v>
      </x:c>
      <x:c r="G103" s="19" t="n">
        <x:f>G102+O102+IF($A103=DATE(2026,6,1),1500,0)</x:f>
        <x:v>1430.926467891628</x:v>
      </x:c>
      <x:c r="H103" s="19" t="n">
        <x:f>H102+N102+IF($A103=DATE(2026,6,15),6000,0)-IF($A103=DATE(2026,6,16),6000,0)+IF($A103=DATE(2026,6,16),10000,0)-IF($A103=DATE(2026,6,17),3300,0)-IF($A103=DATE(2026,6,22),5000,0)</x:f>
        <x:v>3071.958050211922</x:v>
      </x:c>
      <x:c r="I103" s="19" t="n">
        <x:f>I102+P102+IF($A103=DATE(2026,6,17),9000,0)+IF($A103=DATE(2026,6,22),1000,0)</x:f>
        <x:v>11087.716883857707</x:v>
      </x:c>
      <x:c r="J103" s="19" t="n">
        <x:f>SUM(D103:I103)</x:f>
        <x:v>22476.04</x:v>
      </x:c>
      <x:c r="K103" s="19" t="n">
        <x:f>IFERROR($B103*D103/$J103,0)</x:f>
        <x:v>0</x:v>
      </x:c>
      <x:c r="L103" s="19" t="n">
        <x:f>IFERROR($B103*E103/$J103,0)</x:f>
        <x:v>0</x:v>
      </x:c>
      <x:c r="M103" s="19" t="n">
        <x:f>IFERROR($B103*F103/$J103,0)</x:f>
        <x:v>0</x:v>
      </x:c>
      <x:c r="N103" s="19" t="n">
        <x:f>IFERROR($B103*H103/$J103,0)</x:f>
        <x:v>0</x:v>
      </x:c>
      <x:c r="O103" s="19" t="n">
        <x:f>IFERROR($B103*G103/$J103,0)</x:f>
        <x:v>0</x:v>
      </x:c>
      <x:c r="P103" s="19" t="n">
        <x:f>IFERROR($B103*I103/$J103,0)</x:f>
        <x:v>0</x:v>
      </x:c>
    </x:row>
    <x:row r="104">
      <x:c r="A104" s="24"/>
      <x:c r="B104" s="25"/>
      <x:c r="C104" s="25"/>
      <x:c r="D104" s="19" t="n">
        <x:f>D103+K103+IF($A104=DATE(2026,6,1),14136.37,0)-IF($A104=DATE(2026,6,16),7878.665*'分摊计算'!$C$4,0)-IF($A104=DATE(2026,6,17),7878.665*'分摊计算'!$C$4,0)</x:f>
        <x:v>3724.124950563409</x:v>
      </x:c>
      <x:c r="E104" s="19" t="n">
        <x:f>E103+L103+IF($A104=DATE(2026,6,1),5000,0)-IF($A104=DATE(2026,6,16),7878.665*'分摊计算'!$C$5,0)-IF($A104=DATE(2026,6,17),7878.665*'分摊计算'!$C$5,0)</x:f>
        <x:v>1317.2140197813897</x:v>
      </x:c>
      <x:c r="F104" s="19" t="n">
        <x:f>F103+M103+IF($A104=DATE(2026,6,1),7000,0)-IF($A104=DATE(2026,6,16),7878.665*'分摊计算'!$C$6,0)-IF($A104=DATE(2026,6,17),7878.665*'分摊计算'!$C$6,0)</x:f>
        <x:v>1844.0996276939454</x:v>
      </x:c>
      <x:c r="G104" s="19" t="n">
        <x:f>G103+O103+IF($A104=DATE(2026,6,1),1500,0)</x:f>
        <x:v>1430.926467891628</x:v>
      </x:c>
      <x:c r="H104" s="19" t="n">
        <x:f>H103+N103+IF($A104=DATE(2026,6,15),6000,0)-IF($A104=DATE(2026,6,16),6000,0)+IF($A104=DATE(2026,6,16),10000,0)-IF($A104=DATE(2026,6,17),3300,0)-IF($A104=DATE(2026,6,22),5000,0)</x:f>
        <x:v>3071.958050211922</x:v>
      </x:c>
      <x:c r="I104" s="19" t="n">
        <x:f>I103+P103+IF($A104=DATE(2026,6,17),9000,0)+IF($A104=DATE(2026,6,22),1000,0)</x:f>
        <x:v>11087.716883857707</x:v>
      </x:c>
      <x:c r="J104" s="19" t="n">
        <x:f>SUM(D104:I104)</x:f>
        <x:v>22476.04</x:v>
      </x:c>
      <x:c r="K104" s="19" t="n">
        <x:f>IFERROR($B104*D104/$J104,0)</x:f>
        <x:v>0</x:v>
      </x:c>
      <x:c r="L104" s="19" t="n">
        <x:f>IFERROR($B104*E104/$J104,0)</x:f>
        <x:v>0</x:v>
      </x:c>
      <x:c r="M104" s="19" t="n">
        <x:f>IFERROR($B104*F104/$J104,0)</x:f>
        <x:v>0</x:v>
      </x:c>
      <x:c r="N104" s="19" t="n">
        <x:f>IFERROR($B104*H104/$J104,0)</x:f>
        <x:v>0</x:v>
      </x:c>
      <x:c r="O104" s="19" t="n">
        <x:f>IFERROR($B104*G104/$J104,0)</x:f>
        <x:v>0</x:v>
      </x:c>
      <x:c r="P104" s="19" t="n">
        <x:f>IFERROR($B104*I104/$J104,0)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0" t="str">
        <x:v>固定本金与分摊比例</x:v>
      </x:c>
      <x:c r="B1" s="20"/>
      <x:c r="C1" s="20"/>
      <x:c r="D1" s="20"/>
      <x:c r="E1" s="20"/>
      <x:c r="F1" s="20"/>
      <x:c r="G1" s="20"/>
      <x:c r="H1" s="20"/>
      <x:c r="I1" s="21"/>
      <x:c r="J1" s="21"/>
      <x:c r="K1" s="21"/>
      <x:c r="L1" s="21"/>
    </x:row>
    <x:row r="2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</x:row>
    <x:row r="3">
      <x:c r="A3" s="17" t="str">
        <x:v>三人共同池</x:v>
      </x:c>
      <x:c r="B3" s="17" t="str">
        <x:v>本金</x:v>
      </x:c>
      <x:c r="C3" s="17" t="str">
        <x:v>共同池比例</x:v>
      </x:c>
      <x:c r="D3" s="17" t="str">
        <x:v>说明</x:v>
      </x:c>
      <x:c r="E3" s="21"/>
      <x:c r="F3" s="17" t="str">
        <x:v>美股本金 CNY</x:v>
      </x:c>
      <x:c r="G3" s="17" t="str">
        <x:v>本金</x:v>
      </x:c>
      <x:c r="H3" s="17" t="str">
        <x:v>分摊比例</x:v>
      </x:c>
      <x:c r="I3" s="21"/>
      <x:c r="J3" s="21"/>
      <x:c r="K3" s="21"/>
      <x:c r="L3" s="21"/>
    </x:row>
    <x:row r="4">
      <x:c r="A4" s="21" t="str">
        <x:v>王欣隆</x:v>
      </x:c>
      <x:c r="B4" s="19" t="n">
        <x:v>14136.37</x:v>
      </x:c>
      <x:c r="C4" s="19" t="n">
        <x:f>B4/SUM($B$4:$B$6)</x:f>
        <x:v>0.5408696770056438</x:v>
      </x:c>
      <x:c r="D4" s="21" t="str">
        <x:v>三人共同池初始本金</x:v>
      </x:c>
      <x:c r="E4" s="21"/>
      <x:c r="F4" s="21" t="str">
        <x:v>三人共同池</x:v>
      </x:c>
      <x:c r="G4" s="19" t="n">
        <x:v>15757.33</x:v>
      </x:c>
      <x:c r="H4" s="19" t="n">
        <x:f>G4/SUM($G$4:$G$6)</x:f>
        <x:v>0.35529420571638076</x:v>
      </x:c>
      <x:c r="I4" s="21"/>
      <x:c r="J4" s="21"/>
      <x:c r="K4" s="21"/>
      <x:c r="L4" s="21"/>
    </x:row>
    <x:row r="5">
      <x:c r="A5" s="21" t="str">
        <x:v>chen</x:v>
      </x:c>
      <x:c r="B5" s="19" t="n">
        <x:v>5000</x:v>
      </x:c>
      <x:c r="C5" s="19" t="n">
        <x:f>B5/SUM($B$4:$B$6)</x:f>
        <x:v>0.19130430124764838</x:v>
      </x:c>
      <x:c r="D5" s="21" t="str">
        <x:v>三人共同池初始本金</x:v>
      </x:c>
      <x:c r="E5" s="21"/>
      <x:c r="F5" s="21" t="str">
        <x:v>garlicm</x:v>
      </x:c>
      <x:c r="G5" s="19" t="n">
        <x:f>8514.26+36250*'每日更新'!$B$6</x:f>
        <x:v>10036.76</x:v>
      </x:c>
      <x:c r="H5" s="19" t="n">
        <x:f>G5/SUM($G$4:$G$6)</x:f>
        <x:v>0.22630754526090027</x:v>
      </x:c>
      <x:c r="I5" s="21"/>
      <x:c r="J5" s="21"/>
      <x:c r="K5" s="21"/>
      <x:c r="L5" s="21"/>
    </x:row>
    <x:row r="6">
      <x:c r="A6" s="21" t="str">
        <x:v>南京哥</x:v>
      </x:c>
      <x:c r="B6" s="19" t="n">
        <x:v>7000</x:v>
      </x:c>
      <x:c r="C6" s="19" t="n">
        <x:f>B6/SUM($B$4:$B$6)</x:f>
        <x:v>0.2678260217467077</x:v>
      </x:c>
      <x:c r="D6" s="21" t="str">
        <x:v>三人共同池初始本金</x:v>
      </x:c>
      <x:c r="E6" s="21"/>
      <x:c r="F6" s="21" t="str">
        <x:v>糖</x:v>
      </x:c>
      <x:c r="G6" s="19" t="n">
        <x:f>17056+1500</x:f>
        <x:v>18556</x:v>
      </x:c>
      <x:c r="H6" s="19" t="n">
        <x:f>G6/SUM($G$4:$G$6)</x:f>
        <x:v>0.41839824902271905</x:v>
      </x:c>
      <x:c r="I6" s="21"/>
      <x:c r="J6" s="21"/>
      <x:c r="K6" s="21"/>
      <x:c r="L6" s="21"/>
    </x:row>
    <x:row r="7">
      <x:c r="A7" s="21" t="str">
        <x:v>合计</x:v>
      </x:c>
      <x:c r="B7" s="19" t="n">
        <x:f>SUM(B4:B6)</x:f>
        <x:v>26136.370000000003</x:v>
      </x:c>
      <x:c r="C7" s="19" t="n">
        <x:f>SUM(C4:C6)</x:f>
        <x:v>1</x:v>
      </x:c>
      <x:c r="D7" s="21" t="str"/>
      <x:c r="E7" s="21"/>
      <x:c r="F7" s="21" t="str">
        <x:v>合计</x:v>
      </x:c>
      <x:c r="G7" s="19" t="n">
        <x:f>SUM(G4:G6)</x:f>
        <x:v>44350.09</x:v>
      </x:c>
      <x:c r="H7" s="19" t="n">
        <x:f>SUM(H4:H6)</x:f>
        <x:v>1</x:v>
      </x:c>
      <x:c r="I7" s="21"/>
      <x:c r="J7" s="21"/>
      <x:c r="K7" s="21"/>
      <x:c r="L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>
      <x:c r="A11" s="17" t="str">
        <x:v>基金分摊</x:v>
      </x:c>
      <x:c r="B11" s="17" t="str">
        <x:v>基金盈亏</x:v>
      </x:c>
      <x:c r="C11" s="17" t="str">
        <x:v>共同池比例</x:v>
      </x:c>
      <x:c r="D11" s="17" t="str">
        <x:v>个人基金盈亏</x:v>
      </x:c>
      <x:c r="E11" s="17" t="str">
        <x:v>说明</x:v>
      </x:c>
      <x:c r="F11" s="21"/>
      <x:c r="G11" s="17" t="str">
        <x:v>美股分摊</x:v>
      </x:c>
      <x:c r="H11" s="17" t="str">
        <x:v>后段美股盈亏 RMB</x:v>
      </x:c>
      <x:c r="I11" s="17" t="str">
        <x:v>美股本金</x:v>
      </x:c>
      <x:c r="J11" s="17" t="str">
        <x:v>第一层比例</x:v>
      </x:c>
      <x:c r="K11" s="17" t="str">
        <x:v>共同池比例</x:v>
      </x:c>
      <x:c r="L11" s="17" t="str">
        <x:v>个人美股盈亏</x:v>
      </x:c>
    </x:row>
    <x:row r="12">
      <x:c r="A12" s="21" t="str">
        <x:v>王欣隆</x:v>
      </x:c>
      <x:c r="B12" s="19" t="n">
        <x:f>'每日更新'!$B$8-'每日更新'!$B$7</x:f>
        <x:v>-34.539999999999964</x:v>
      </x:c>
      <x:c r="C12" s="19" t="n">
        <x:v>1</x:v>
      </x:c>
      <x:c r="D12" s="19" t="n">
        <x:f>B12</x:f>
        <x:v>-34.539999999999964</x:v>
      </x:c>
      <x:c r="E12" s="21" t="str">
        <x:v>基金全部归王欣隆</x:v>
      </x:c>
      <x:c r="F12" s="21"/>
      <x:c r="G12" s="21" t="str">
        <x:v>王欣隆</x:v>
      </x:c>
      <x:c r="H12" s="19" t="n">
        <x:f>('每日更新'!$B$11+'每日更新'!$B$5)*'每日更新'!$B$6</x:f>
        <x:v>-4125.3240000000005</x:v>
      </x:c>
      <x:c r="I12" s="19" t="n">
        <x:f>$G$4</x:f>
        <x:v>15757.33</x:v>
      </x:c>
      <x:c r="J12" s="19" t="n">
        <x:f>$H$4</x:f>
        <x:v>0.35529420571638076</x:v>
      </x:c>
      <x:c r="K12" s="19" t="n">
        <x:f>C4</x:f>
        <x:v>0.5408696770056438</x:v>
      </x:c>
      <x:c r="L12" s="19" t="n">
        <x:f>H12*J12*K12</x:f>
        <x:v>-792.7546943245384</x:v>
      </x:c>
    </x:row>
    <x:row r="13">
      <x:c r="A13" s="21" t="str">
        <x:v>chen</x:v>
      </x:c>
      <x:c r="B13" s="19" t="n">
        <x:f>'每日更新'!$B$8-'每日更新'!$B$7</x:f>
        <x:v>-34.539999999999964</x:v>
      </x:c>
      <x:c r="C13" s="19" t="n">
        <x:v>0</x:v>
      </x:c>
      <x:c r="D13" s="19" t="n">
        <x:v>0</x:v>
      </x:c>
      <x:c r="E13" s="21" t="str">
        <x:v>共同池不再分基金</x:v>
      </x:c>
      <x:c r="F13" s="21"/>
      <x:c r="G13" s="21" t="str">
        <x:v>chen</x:v>
      </x:c>
      <x:c r="H13" s="19" t="n">
        <x:f>('每日更新'!$B$11+'每日更新'!$B$5)*'每日更新'!$B$6</x:f>
        <x:v>-4125.3240000000005</x:v>
      </x:c>
      <x:c r="I13" s="19" t="n">
        <x:f>$G$4</x:f>
        <x:v>15757.33</x:v>
      </x:c>
      <x:c r="J13" s="19" t="n">
        <x:f>$H$4</x:f>
        <x:v>0.35529420571638076</x:v>
      </x:c>
      <x:c r="K13" s="19" t="n">
        <x:f>C5</x:f>
        <x:v>0.19130430124764838</x:v>
      </x:c>
      <x:c r="L13" s="19" t="n">
        <x:f>H13*J13*K13</x:f>
        <x:v>-280.39542482424355</x:v>
      </x:c>
    </x:row>
    <x:row r="14">
      <x:c r="A14" s="21" t="str">
        <x:v>南京哥</x:v>
      </x:c>
      <x:c r="B14" s="19" t="n">
        <x:f>'每日更新'!$B$8-'每日更新'!$B$7</x:f>
        <x:v>-34.539999999999964</x:v>
      </x:c>
      <x:c r="C14" s="19" t="n">
        <x:v>0</x:v>
      </x:c>
      <x:c r="D14" s="19" t="n">
        <x:v>0</x:v>
      </x:c>
      <x:c r="E14" s="21" t="str">
        <x:v>共同池不再分基金</x:v>
      </x:c>
      <x:c r="F14" s="21"/>
      <x:c r="G14" s="21" t="str">
        <x:v>南京哥</x:v>
      </x:c>
      <x:c r="H14" s="19" t="n">
        <x:f>('每日更新'!$B$11+'每日更新'!$B$5)*'每日更新'!$B$6</x:f>
        <x:v>-4125.3240000000005</x:v>
      </x:c>
      <x:c r="I14" s="19" t="n">
        <x:f>$G$4</x:f>
        <x:v>15757.33</x:v>
      </x:c>
      <x:c r="J14" s="19" t="n">
        <x:f>$H$4</x:f>
        <x:v>0.35529420571638076</x:v>
      </x:c>
      <x:c r="K14" s="19" t="n">
        <x:f>C6</x:f>
        <x:v>0.2678260217467077</x:v>
      </x:c>
      <x:c r="L14" s="19" t="n">
        <x:f>H14*J14*K14</x:f>
        <x:v>-392.55359475394096</x:v>
      </x:c>
    </x:row>
    <x:row r="15">
      <x:c r="A15" s="21" t="str">
        <x:v>garlicm</x:v>
      </x:c>
      <x:c r="B15" s="19" t="n">
        <x:v>0</x:v>
      </x:c>
      <x:c r="C15" s="19" t="n">
        <x:v>0</x:v>
      </x:c>
      <x:c r="D15" s="19" t="n">
        <x:v>0</x:v>
      </x:c>
      <x:c r="E15" s="21" t="str">
        <x:v>不参与基金</x:v>
      </x:c>
      <x:c r="F15" s="21"/>
      <x:c r="G15" s="21" t="str">
        <x:v>garlicm</x:v>
      </x:c>
      <x:c r="H15" s="19" t="n">
        <x:f>('每日更新'!$B$11+'每日更新'!$B$5)*'每日更新'!$B$6</x:f>
        <x:v>-4125.3240000000005</x:v>
      </x:c>
      <x:c r="I15" s="19" t="n">
        <x:f>$G$5</x:f>
        <x:v>10036.76</x:v>
      </x:c>
      <x:c r="J15" s="19" t="n">
        <x:f>$H$5</x:f>
        <x:v>0.22630754526090027</x:v>
      </x:c>
      <x:c r="K15" s="19" t="n">
        <x:v>1</x:v>
      </x:c>
      <x:c r="L15" s="19" t="n">
        <x:f>H15*J15*K15</x:f>
        <x:v>-933.5919478458783</x:v>
      </x:c>
    </x:row>
    <x:row r="16">
      <x:c r="A16" s="21" t="str">
        <x:v>糖</x:v>
      </x:c>
      <x:c r="B16" s="19" t="n">
        <x:v>0</x:v>
      </x:c>
      <x:c r="C16" s="19" t="n">
        <x:v>0</x:v>
      </x:c>
      <x:c r="D16" s="19" t="n">
        <x:v>0</x:v>
      </x:c>
      <x:c r="E16" s="21" t="str">
        <x:v>不参与基金</x:v>
      </x:c>
      <x:c r="F16" s="21"/>
      <x:c r="G16" s="21" t="str">
        <x:v>糖</x:v>
      </x:c>
      <x:c r="H16" s="19" t="n">
        <x:f>('每日更新'!$B$11+'每日更新'!$B$5)*'每日更新'!$B$6</x:f>
        <x:v>-4125.3240000000005</x:v>
      </x:c>
      <x:c r="I16" s="19" t="n">
        <x:f>$G$6</x:f>
        <x:v>18556</x:v>
      </x:c>
      <x:c r="J16" s="19" t="n">
        <x:f>$H$6</x:f>
        <x:v>0.41839824902271905</x:v>
      </x:c>
      <x:c r="K16" s="19" t="n">
        <x:v>1</x:v>
      </x:c>
      <x:c r="L16" s="19" t="n">
        <x:f>H16*J16*K16+'每日更新'!$B$10*'每日更新'!$B$6</x:f>
        <x:v>-3006.5243382514</x:v>
      </x:c>
    </x:row>
    <x:row r="17">
      <x:c r="A17" s="21" t="str">
        <x:v>合计</x:v>
      </x:c>
      <x:c r="B17" s="19"/>
      <x:c r="C17" s="19"/>
      <x:c r="D17" s="19" t="n">
        <x:f>SUM(D12:D16)</x:f>
        <x:v>-34.539999999999964</x:v>
      </x:c>
      <x:c r="E17" s="21" t="str"/>
      <x:c r="F17" s="21"/>
      <x:c r="G17" s="21" t="str">
        <x:v>合计</x:v>
      </x:c>
      <x:c r="H17" s="19"/>
      <x:c r="I17" s="19"/>
      <x:c r="J17" s="19"/>
      <x:c r="K17" s="19"/>
      <x:c r="L17" s="19" t="n">
        <x:f>SUM(L12:L16)</x:f>
        <x:v>-5405.8200000000015</x:v>
      </x:c>
    </x:row>
  </x:sheetData>
  <x:mergeCells>
    <x:mergeCell ref="A1:H1"/>
  </x:mergeCells>
  <x:pageMargins left="0.7" right="0.7" top="0.75" bottom="0.75" header="0.3" footer="0.3"/>
</x:worksheet>
</file>